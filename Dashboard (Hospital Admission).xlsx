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c0d239dee3f3734/Desktop/for job 2026/excel/Hospital_Emergency_Room_Dashboard-main/"/>
    </mc:Choice>
  </mc:AlternateContent>
  <xr:revisionPtr revIDLastSave="4" documentId="8_{1147B052-C192-4D6F-8ABE-F968EBBCD04F}" xr6:coauthVersionLast="47" xr6:coauthVersionMax="47" xr10:uidLastSave="{BBE682E9-FD18-4BE7-8FD5-AEF7BDFFEC7D}"/>
  <bookViews>
    <workbookView xWindow="-120" yWindow="-120" windowWidth="20730" windowHeight="11160" activeTab="1" xr2:uid="{1ECF71D7-CDB8-4A5E-BF86-9586CDE5FD86}"/>
  </bookViews>
  <sheets>
    <sheet name="Pivot Report" sheetId="1" r:id="rId1"/>
    <sheet name="Dashboard" sheetId="2" r:id="rId2"/>
    <sheet name="no. of patients visiting" sheetId="3" r:id="rId3"/>
    <sheet name="patient wait time" sheetId="4" r:id="rId4"/>
    <sheet name="Patient Feedback score" sheetId="6" r:id="rId5"/>
  </sheets>
  <definedNames>
    <definedName name="Slicer_Date__Month">#N/A</definedName>
    <definedName name="Slicer_Date__Year">#N/A</definedName>
  </definedNames>
  <calcPr calcId="191029"/>
  <pivotCaches>
    <pivotCache cacheId="1223" r:id="rId6"/>
    <pivotCache cacheId="1226" r:id="rId7"/>
    <pivotCache cacheId="1229" r:id="rId8"/>
    <pivotCache cacheId="1232" r:id="rId9"/>
    <pivotCache cacheId="1235" r:id="rId10"/>
    <pivotCache cacheId="1238" r:id="rId11"/>
    <pivotCache cacheId="1241" r:id="rId12"/>
    <pivotCache cacheId="1244" r:id="rId13"/>
    <pivotCache cacheId="1247" r:id="rId14"/>
    <pivotCache cacheId="1250" r:id="rId15"/>
    <pivotCache cacheId="1253" r:id="rId16"/>
    <pivotCache cacheId="1256" r:id="rId17"/>
  </pivotCaches>
  <extLst>
    <ext xmlns:x14="http://schemas.microsoft.com/office/spreadsheetml/2009/9/main" uri="{876F7934-8845-4945-9796-88D515C7AA90}">
      <x14:pivotCaches>
        <pivotCache cacheId="91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0ec43d7-5877-44d3-ba5c-db146e42e8f9" name="Hospital Emergency Room Data" connection="Query - Hospital Emergency Room Data"/>
          <x15:modelTable id="Calender_querry_3dc7aab7-6a70-44d8-a92d-9558d3972c50" name="Calender_querry" connection="Query - Calender_querry"/>
        </x15:modelTables>
        <x15:modelRelationships>
          <x15:modelRelationship fromTable="Hospital Emergency Room Data" fromColumn="Patient Admission Date" toTable="Calender_querry" toColumn="Date"/>
        </x15:modelRelationships>
        <x15:extLst>
          <ext xmlns:x16="http://schemas.microsoft.com/office/spreadsheetml/2014/11/main" uri="{9835A34E-60A6-4A7C-AAB8-D5F71C897F49}">
            <x16:modelTimeGroupings>
              <x16:modelTimeGrouping tableName="Calender_querry"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1" l="1"/>
  <c r="C20" i="1"/>
  <c r="B20" i="1"/>
  <c r="B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F82EF-93F5-4F2E-9EA4-E08DECE9A77F}" name="Query - Calender_querry" description="Connection to the 'Calender_querry' query in the workbook." type="100" refreshedVersion="8" minRefreshableVersion="5">
    <extLst>
      <ext xmlns:x15="http://schemas.microsoft.com/office/spreadsheetml/2010/11/main" uri="{DE250136-89BD-433C-8126-D09CA5730AF9}">
        <x15:connection id="56f48f20-161c-41a1-adee-82507ac9815e">
          <x15:oledbPr connection="Provider=Microsoft.Mashup.OleDb.1;Data Source=$Workbook$;Location=Calender_querry;Extended Properties=&quot;&quot;">
            <x15:dbTables>
              <x15:dbTable name="Calender_querry"/>
            </x15:dbTables>
          </x15:oledbPr>
        </x15:connection>
      </ext>
    </extLst>
  </connection>
  <connection id="2" xr16:uid="{E6315319-B2C1-4034-A9E9-EAC4D3271E5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b91c87a-da70-448a-bc1e-624b538ee502"/>
      </ext>
    </extLst>
  </connection>
  <connection id="3" xr16:uid="{D4B78EC6-AA3A-477E-AFB8-1BE9D7F1CE4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<sst xmlns="http://schemas.openxmlformats.org/spreadsheetml/2006/main" count="149" uniqueCount="68">
  <si>
    <t xml:space="preserve">No. of patient </t>
  </si>
  <si>
    <t>Distinct Count of Patient Id</t>
  </si>
  <si>
    <t>Average of Patient Waittime</t>
  </si>
  <si>
    <t>Average of Patient Satisfaction Score</t>
  </si>
  <si>
    <t>Grand Total</t>
  </si>
  <si>
    <t>Row Labels</t>
  </si>
  <si>
    <t>Count of Patient Id</t>
  </si>
  <si>
    <t>Admitted</t>
  </si>
  <si>
    <t>Not Admitted</t>
  </si>
  <si>
    <t>Count of Patient Admission Flag</t>
  </si>
  <si>
    <t>Count of Patient Admission Flag2</t>
  </si>
  <si>
    <t>Admission Status</t>
  </si>
  <si>
    <t>% status</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</si>
  <si>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</si>
  <si>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</si>
  <si>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</si>
  <si>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</si>
  <si>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</si>
  <si>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</si>
  <si>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</si>
  <si>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</si>
  <si>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</si>
  <si>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</si>
  <si>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</si>
  <si>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</si>
  <si>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</si>
  <si>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</si>
  <si>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</si>
  <si>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</si>
  <si>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</si>
  <si>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</si>
  <si>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</si>
  <si>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</si>
  <si>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</si>
  <si>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</si>
  <si>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</si>
  <si>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</si>
  <si>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</si>
  <si>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</si>
  <si>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</si>
  <si>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</si>
  <si>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</si>
  <si>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</si>
  <si>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0- 09</t>
  </si>
  <si>
    <t>10-19</t>
  </si>
  <si>
    <t>20-29</t>
  </si>
  <si>
    <t>30-39</t>
  </si>
  <si>
    <t>40-49</t>
  </si>
  <si>
    <t>50-59</t>
  </si>
  <si>
    <t>60-69</t>
  </si>
  <si>
    <t>70-79</t>
  </si>
  <si>
    <t>Count of Age Group</t>
  </si>
  <si>
    <t>Delayed treatment</t>
  </si>
  <si>
    <t>On time treatment</t>
  </si>
  <si>
    <t>Count of Patient Attending Status</t>
  </si>
  <si>
    <t>Female</t>
  </si>
  <si>
    <t>Male</t>
  </si>
  <si>
    <t>Count of Patient Gender</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</si>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</sst>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9" formatCode="0.0"/>
    <numFmt numFmtId="170" formatCode="0.0%"/>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8"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0" fontId="0" fillId="0" borderId="0" xfId="0" applyNumberFormat="1"/>
    <xf numFmtId="0" fontId="0" fillId="0" borderId="0" xfId="0" applyFill="1"/>
    <xf numFmtId="0" fontId="0" fillId="3" borderId="0" xfId="0" applyFill="1" applyAlignment="1">
      <alignment horizontal="center"/>
    </xf>
    <xf numFmtId="0" fontId="0" fillId="3" borderId="0" xfId="0" applyFill="1"/>
    <xf numFmtId="0" fontId="0" fillId="4" borderId="0" xfId="0" applyFill="1" applyAlignment="1">
      <alignment horizontal="center"/>
    </xf>
    <xf numFmtId="170" fontId="0" fillId="4" borderId="0" xfId="1" applyNumberFormat="1" applyFont="1" applyFill="1" applyAlignment="1">
      <alignment horizontal="center"/>
    </xf>
    <xf numFmtId="1" fontId="0" fillId="4" borderId="0" xfId="0" applyNumberFormat="1" applyFill="1" applyAlignment="1">
      <alignment horizontal="center"/>
    </xf>
  </cellXfs>
  <cellStyles count="2">
    <cellStyle name="Normal" xfId="0" builtinId="0"/>
    <cellStyle name="Percent" xfId="1" builtinId="5"/>
  </cellStyles>
  <dxfs count="62">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border diagonalUp="0" diagonalDown="0">
        <left/>
        <right/>
        <top/>
        <bottom/>
        <vertical/>
        <horizontal/>
      </border>
    </dxf>
    <dxf>
      <border diagonalUp="0" diagonalDown="0">
        <left/>
        <right/>
        <top/>
        <bottom/>
        <vertical/>
        <horizontal/>
      </border>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165" formatCode="0.000000"/>
    </dxf>
    <dxf>
      <numFmt numFmtId="2" formatCode="0.00"/>
    </dxf>
    <dxf>
      <numFmt numFmtId="2" formatCode="0.00"/>
    </dxf>
    <dxf>
      <numFmt numFmtId="2" formatCode="0.00"/>
    </dxf>
    <dxf>
      <numFmt numFmtId="169" formatCode="0.0"/>
    </dxf>
    <dxf>
      <numFmt numFmtId="2" formatCode="0.00"/>
    </dxf>
    <dxf>
      <numFmt numFmtId="165" formatCode="0.000000"/>
    </dxf>
    <dxf>
      <font>
        <b/>
        <color theme="1"/>
      </font>
      <border>
        <bottom style="thin">
          <color theme="9"/>
        </bottom>
        <vertical/>
        <horizontal/>
      </border>
    </dxf>
    <dxf>
      <font>
        <sz val="10"/>
        <color theme="1"/>
      </font>
      <border diagonalUp="0" diagonalDown="0">
        <left/>
        <right/>
        <top/>
        <bottom/>
        <vertical/>
        <horizontal/>
      </border>
    </dxf>
    <dxf>
      <border diagonalUp="0" diagonalDown="0">
        <left/>
        <right/>
        <top/>
        <bottom/>
        <vertical/>
        <horizontal/>
      </border>
    </dxf>
    <dxf>
      <numFmt numFmtId="2" formatCode="0.00"/>
    </dxf>
    <dxf>
      <numFmt numFmtId="2" formatCode="0.00"/>
    </dxf>
    <dxf>
      <font>
        <b/>
        <color theme="1"/>
      </font>
      <border>
        <bottom style="thin">
          <color theme="9"/>
        </bottom>
        <vertical/>
        <horizontal/>
      </border>
    </dxf>
    <dxf>
      <font>
        <sz val="8"/>
        <color theme="1"/>
      </font>
      <border>
        <left style="thin">
          <color theme="9"/>
        </left>
        <right style="thin">
          <color theme="9"/>
        </right>
        <top style="thin">
          <color theme="9"/>
        </top>
        <bottom style="thin">
          <color theme="9"/>
        </bottom>
        <vertical/>
        <horizontal/>
      </border>
    </dxf>
    <dxf>
      <font>
        <b/>
        <color theme="1"/>
      </font>
      <border>
        <bottom style="thin">
          <color theme="0" tint="-0.34998626667073579"/>
        </bottom>
        <vertical/>
        <horizontal/>
      </border>
    </dxf>
    <dxf>
      <font>
        <sz val="11"/>
        <color theme="9" tint="-0.2499465926084170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0"/>
        <color rgb="FFC00000"/>
      </font>
    </dxf>
  </dxfs>
  <tableStyles count="8" defaultTableStyle="TableStyleMedium2" defaultPivotStyle="PivotStyleLight16">
    <tableStyle name="1" pivot="0" table="0" count="1" xr9:uid="{280281DD-0203-4226-9C8C-B2E62E10D31B}">
      <tableStyleElement type="wholeTable" dxfId="61"/>
    </tableStyle>
    <tableStyle name="a" pivot="0" table="0" count="10" xr9:uid="{68258F6B-25C2-437F-B23D-E6CC2BAD8163}">
      <tableStyleElement type="wholeTable" dxfId="60"/>
      <tableStyleElement type="headerRow" dxfId="59"/>
    </tableStyle>
    <tableStyle name="aa" pivot="0" table="0" count="10" xr9:uid="{81B252DF-D562-4A13-9C05-95D73E65E21B}">
      <tableStyleElement type="wholeTable" dxfId="51"/>
      <tableStyleElement type="headerRow" dxfId="50"/>
    </tableStyle>
    <tableStyle name="b" pivot="0" table="0" count="10" xr9:uid="{B3A44116-BA8F-41D6-ACC5-68FCA8218347}">
      <tableStyleElement type="wholeTable" dxfId="58"/>
      <tableStyleElement type="headerRow" dxfId="57"/>
    </tableStyle>
    <tableStyle name="Slicer Style 1" pivot="0" table="0" count="2" xr9:uid="{1A110C87-976B-4F1D-B2D3-DF8B3F428C7D}">
      <tableStyleElement type="wholeTable" dxfId="52"/>
    </tableStyle>
    <tableStyle name="Slicer Style 2" pivot="0" table="0" count="1" xr9:uid="{33DDF581-BB8A-4078-9A2B-D232731C4E75}">
      <tableStyleElement type="wholeTable" dxfId="26"/>
    </tableStyle>
    <tableStyle name="Slicer Style 3" pivot="0" table="0" count="1" xr9:uid="{19521AA3-B322-49CB-BB46-D8848098A2D7}">
      <tableStyleElement type="headerRow" dxfId="25"/>
    </tableStyle>
    <tableStyle name="SlicerStyleDark6 2" pivot="0" table="0" count="10" xr9:uid="{4CE8899A-7834-4E92-90B1-767EF09FC597}">
      <tableStyleElement type="wholeTable" dxfId="56"/>
      <tableStyleElement type="headerRow" dxfId="55"/>
    </tableStyle>
  </tableStyles>
  <colors>
    <mruColors>
      <color rgb="FFF8F8F8"/>
      <color rgb="FFFFCC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1"/>
        <x14:slicerStyle name="a">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a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 Style 2"/>
        <x14:slicerStyle name="Slicer Style 3"/>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C31BF0BC-3E3E-46F1-A1FB-200BBF5E3A1B}" type="CELLRANGE">
                  <a:rPr lang="en-US"/>
                  <a:pPr>
                    <a:defRPr sz="700"/>
                  </a:pPr>
                  <a:t>[CELLRANGE]</a:t>
                </a:fld>
                <a:endParaRPr lang="en-IN"/>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fld id="{6C6E941B-0075-4B9A-BAE1-C02C7D83252E}" type="CELLRANGE">
                  <a:rPr lang="en-US"/>
                  <a:pPr>
                    <a:defRPr sz="700"/>
                  </a:pPr>
                  <a:t>[CELLRANGE]</a:t>
                </a:fld>
                <a:endParaRPr lang="en-IN"/>
              </a:p>
            </c:rich>
          </c:tx>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 Report'!$C$15:$C$16</c:f>
              <c:strCache>
                <c:ptCount val="1"/>
                <c:pt idx="0">
                  <c:v>Count of Patient Admission Flag</c:v>
                </c:pt>
              </c:strCache>
            </c:strRef>
          </c:tx>
          <c:spPr>
            <a:solidFill>
              <a:schemeClr val="accent1"/>
            </a:solidFill>
            <a:ln>
              <a:noFill/>
            </a:ln>
            <a:effectLst/>
          </c:spPr>
          <c:invertIfNegative val="0"/>
          <c:dLbls>
            <c:dLbl>
              <c:idx val="0"/>
              <c:tx>
                <c:rich>
                  <a:bodyPr/>
                  <a:lstStyle/>
                  <a:p>
                    <a:fld id="{6C6E941B-0075-4B9A-BAE1-C02C7D83252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30D-4098-96CB-F9C9484F9C7A}"/>
                </c:ext>
              </c:extLst>
            </c:dLbl>
            <c:dLbl>
              <c:idx val="1"/>
              <c:tx>
                <c:rich>
                  <a:bodyPr/>
                  <a:lstStyle/>
                  <a:p>
                    <a:fld id="{C31BF0BC-3E3E-46F1-A1FB-200BBF5E3A1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30D-4098-96CB-F9C9484F9C7A}"/>
                </c:ext>
              </c:extLst>
            </c:dLbl>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Report'!$C$15:$C$16</c:f>
              <c:strCache>
                <c:ptCount val="2"/>
                <c:pt idx="0">
                  <c:v>Admitted</c:v>
                </c:pt>
                <c:pt idx="1">
                  <c:v>Not Admitted</c:v>
                </c:pt>
              </c:strCache>
            </c:strRef>
          </c:cat>
          <c:val>
            <c:numRef>
              <c:f>'Pivot Report'!$C$15:$C$16</c:f>
              <c:numCache>
                <c:formatCode>General</c:formatCode>
                <c:ptCount val="2"/>
                <c:pt idx="0">
                  <c:v>249</c:v>
                </c:pt>
                <c:pt idx="1">
                  <c:v>220</c:v>
                </c:pt>
              </c:numCache>
            </c:numRef>
          </c:val>
          <c:extLst>
            <c:ext xmlns:c15="http://schemas.microsoft.com/office/drawing/2012/chart" uri="{02D57815-91ED-43cb-92C2-25804820EDAC}">
              <c15:datalabelsRange>
                <c15:f>'Pivot Report'!$C$15:$C$16</c15:f>
                <c15:dlblRangeCache>
                  <c:ptCount val="2"/>
                  <c:pt idx="0">
                    <c:v>53.09%</c:v>
                  </c:pt>
                  <c:pt idx="1">
                    <c:v>46.91%</c:v>
                  </c:pt>
                </c15:dlblRangeCache>
              </c15:datalabelsRange>
            </c:ext>
            <c:ext xmlns:c16="http://schemas.microsoft.com/office/drawing/2014/chart" uri="{C3380CC4-5D6E-409C-BE32-E72D297353CC}">
              <c16:uniqueId val="{00000000-C30D-4098-96CB-F9C9484F9C7A}"/>
            </c:ext>
          </c:extLst>
        </c:ser>
        <c:ser>
          <c:idx val="1"/>
          <c:order val="1"/>
          <c:tx>
            <c:strRef>
              <c:f>'Pivot Report'!$C$15:$C$16</c:f>
              <c:strCache>
                <c:ptCount val="1"/>
                <c:pt idx="0">
                  <c:v>Count of Patient Admission Flag2</c:v>
                </c:pt>
              </c:strCache>
            </c:strRef>
          </c:tx>
          <c:spPr>
            <a:solidFill>
              <a:schemeClr val="accent2"/>
            </a:solidFill>
            <a:ln>
              <a:noFill/>
            </a:ln>
            <a:effectLst/>
          </c:spPr>
          <c:invertIfNegative val="0"/>
          <c:cat>
            <c:strRef>
              <c:f>'Pivot Report'!$C$15:$C$16</c:f>
              <c:strCache>
                <c:ptCount val="2"/>
                <c:pt idx="0">
                  <c:v>Admitted</c:v>
                </c:pt>
                <c:pt idx="1">
                  <c:v>Not Admitted</c:v>
                </c:pt>
              </c:strCache>
            </c:strRef>
          </c:cat>
          <c:val>
            <c:numRef>
              <c:f>'Pivot Report'!$C$15:$C$16</c:f>
              <c:numCache>
                <c:formatCode>0.00%</c:formatCode>
                <c:ptCount val="2"/>
                <c:pt idx="0">
                  <c:v>0.53091684434968012</c:v>
                </c:pt>
                <c:pt idx="1">
                  <c:v>0.46908315565031983</c:v>
                </c:pt>
              </c:numCache>
            </c:numRef>
          </c:val>
          <c:extLst>
            <c:ext xmlns:c16="http://schemas.microsoft.com/office/drawing/2014/chart" uri="{C3380CC4-5D6E-409C-BE32-E72D297353CC}">
              <c16:uniqueId val="{00000001-C30D-4098-96CB-F9C9484F9C7A}"/>
            </c:ext>
          </c:extLst>
        </c:ser>
        <c:dLbls>
          <c:showLegendKey val="0"/>
          <c:showVal val="0"/>
          <c:showCatName val="0"/>
          <c:showSerName val="0"/>
          <c:showPercent val="0"/>
          <c:showBubbleSize val="0"/>
        </c:dLbls>
        <c:gapWidth val="62"/>
        <c:axId val="2097832319"/>
        <c:axId val="1036513487"/>
      </c:barChart>
      <c:catAx>
        <c:axId val="2097832319"/>
        <c:scaling>
          <c:orientation val="minMax"/>
        </c:scaling>
        <c:delete val="1"/>
        <c:axPos val="l"/>
        <c:numFmt formatCode="General" sourceLinked="1"/>
        <c:majorTickMark val="none"/>
        <c:minorTickMark val="none"/>
        <c:tickLblPos val="nextTo"/>
        <c:crossAx val="1036513487"/>
        <c:crosses val="autoZero"/>
        <c:auto val="1"/>
        <c:lblAlgn val="ctr"/>
        <c:lblOffset val="100"/>
        <c:noMultiLvlLbl val="0"/>
      </c:catAx>
      <c:valAx>
        <c:axId val="1036513487"/>
        <c:scaling>
          <c:orientation val="minMax"/>
        </c:scaling>
        <c:delete val="1"/>
        <c:axPos val="b"/>
        <c:numFmt formatCode="General" sourceLinked="1"/>
        <c:majorTickMark val="none"/>
        <c:minorTickMark val="none"/>
        <c:tickLblPos val="nextTo"/>
        <c:crossAx val="209783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solidFill>
              <a:schemeClr val="accent1"/>
            </a:solidFill>
            <a:ln>
              <a:noFill/>
            </a:ln>
            <a:effectLst/>
          </c:spPr>
          <c:cat>
            <c:strRef>
              <c:f>'Pivot Report'!$F$5:$F$35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Report'!$G$5:$G$35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8CC7-4392-84BC-E6D7FD84ABB5}"/>
            </c:ext>
          </c:extLst>
        </c:ser>
        <c:dLbls>
          <c:showLegendKey val="0"/>
          <c:showVal val="0"/>
          <c:showCatName val="0"/>
          <c:showSerName val="0"/>
          <c:showPercent val="0"/>
          <c:showBubbleSize val="0"/>
        </c:dLbls>
        <c:axId val="127827583"/>
        <c:axId val="127836223"/>
      </c:areaChart>
      <c:catAx>
        <c:axId val="127827583"/>
        <c:scaling>
          <c:orientation val="minMax"/>
        </c:scaling>
        <c:delete val="1"/>
        <c:axPos val="b"/>
        <c:numFmt formatCode="General" sourceLinked="1"/>
        <c:majorTickMark val="out"/>
        <c:minorTickMark val="none"/>
        <c:tickLblPos val="nextTo"/>
        <c:crossAx val="127836223"/>
        <c:crosses val="autoZero"/>
        <c:auto val="1"/>
        <c:lblAlgn val="ctr"/>
        <c:lblOffset val="100"/>
        <c:noMultiLvlLbl val="0"/>
      </c:catAx>
      <c:valAx>
        <c:axId val="127836223"/>
        <c:scaling>
          <c:orientation val="minMax"/>
        </c:scaling>
        <c:delete val="1"/>
        <c:axPos val="l"/>
        <c:numFmt formatCode="General" sourceLinked="1"/>
        <c:majorTickMark val="none"/>
        <c:minorTickMark val="none"/>
        <c:tickLblPos val="nextTo"/>
        <c:crossAx val="12782758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69836644109389E-2"/>
          <c:y val="0.22916629073771205"/>
          <c:w val="0.87443940277033672"/>
          <c:h val="0.54166741852457589"/>
        </c:manualLayout>
      </c:layout>
      <c:areaChart>
        <c:grouping val="standard"/>
        <c:varyColors val="0"/>
        <c:ser>
          <c:idx val="0"/>
          <c:order val="0"/>
          <c:tx>
            <c:strRef>
              <c:f>'Pivot Report'!$J$4</c:f>
              <c:strCache>
                <c:ptCount val="1"/>
                <c:pt idx="0">
                  <c:v>Total</c:v>
                </c:pt>
              </c:strCache>
            </c:strRef>
          </c:tx>
          <c:spPr>
            <a:solidFill>
              <a:schemeClr val="accent1"/>
            </a:solidFill>
            <a:ln>
              <a:noFill/>
            </a:ln>
            <a:effectLst/>
          </c:spPr>
          <c:cat>
            <c:strRef>
              <c:f>'Pivot Report'!$I$5:$I$35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Report'!$J$5:$J$35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1E80-484B-A5A3-ED4FEAC1460F}"/>
            </c:ext>
          </c:extLst>
        </c:ser>
        <c:dLbls>
          <c:showLegendKey val="0"/>
          <c:showVal val="0"/>
          <c:showCatName val="0"/>
          <c:showSerName val="0"/>
          <c:showPercent val="0"/>
          <c:showBubbleSize val="0"/>
        </c:dLbls>
        <c:axId val="127909183"/>
        <c:axId val="127895263"/>
      </c:areaChart>
      <c:catAx>
        <c:axId val="127909183"/>
        <c:scaling>
          <c:orientation val="minMax"/>
        </c:scaling>
        <c:delete val="1"/>
        <c:axPos val="b"/>
        <c:numFmt formatCode="General" sourceLinked="1"/>
        <c:majorTickMark val="out"/>
        <c:minorTickMark val="none"/>
        <c:tickLblPos val="nextTo"/>
        <c:crossAx val="127895263"/>
        <c:crosses val="autoZero"/>
        <c:auto val="1"/>
        <c:lblAlgn val="ctr"/>
        <c:lblOffset val="100"/>
        <c:noMultiLvlLbl val="0"/>
      </c:catAx>
      <c:valAx>
        <c:axId val="127895263"/>
        <c:scaling>
          <c:orientation val="minMax"/>
        </c:scaling>
        <c:delete val="1"/>
        <c:axPos val="l"/>
        <c:numFmt formatCode="0.00" sourceLinked="1"/>
        <c:majorTickMark val="none"/>
        <c:minorTickMark val="none"/>
        <c:tickLblPos val="nextTo"/>
        <c:crossAx val="127909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82606898547131E-2"/>
          <c:y val="0"/>
          <c:w val="0.98321739310145284"/>
          <c:h val="0.48098446194590677"/>
        </c:manualLayout>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Report'!$M$5:$M$35</c:f>
              <c:numCache>
                <c:formatCode>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F133-4257-985C-90A1EF21990E}"/>
            </c:ext>
          </c:extLst>
        </c:ser>
        <c:dLbls>
          <c:showLegendKey val="0"/>
          <c:showVal val="0"/>
          <c:showCatName val="0"/>
          <c:showSerName val="0"/>
          <c:showPercent val="0"/>
          <c:showBubbleSize val="0"/>
        </c:dLbls>
        <c:axId val="127880383"/>
        <c:axId val="127880863"/>
      </c:areaChart>
      <c:catAx>
        <c:axId val="127880383"/>
        <c:scaling>
          <c:orientation val="minMax"/>
        </c:scaling>
        <c:delete val="1"/>
        <c:axPos val="b"/>
        <c:numFmt formatCode="General" sourceLinked="1"/>
        <c:majorTickMark val="out"/>
        <c:minorTickMark val="none"/>
        <c:tickLblPos val="nextTo"/>
        <c:crossAx val="127880863"/>
        <c:crosses val="autoZero"/>
        <c:auto val="1"/>
        <c:lblAlgn val="ctr"/>
        <c:lblOffset val="100"/>
        <c:noMultiLvlLbl val="0"/>
      </c:catAx>
      <c:valAx>
        <c:axId val="127880863"/>
        <c:scaling>
          <c:orientation val="minMax"/>
        </c:scaling>
        <c:delete val="1"/>
        <c:axPos val="l"/>
        <c:numFmt formatCode="0.0" sourceLinked="1"/>
        <c:majorTickMark val="none"/>
        <c:minorTickMark val="none"/>
        <c:tickLblPos val="nextTo"/>
        <c:crossAx val="12788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Report'!$A$25:$A$33</c:f>
              <c:strCache>
                <c:ptCount val="8"/>
                <c:pt idx="0">
                  <c:v>0- 09</c:v>
                </c:pt>
                <c:pt idx="1">
                  <c:v>10-19</c:v>
                </c:pt>
                <c:pt idx="2">
                  <c:v>20-29</c:v>
                </c:pt>
                <c:pt idx="3">
                  <c:v>30-39</c:v>
                </c:pt>
                <c:pt idx="4">
                  <c:v>40-49</c:v>
                </c:pt>
                <c:pt idx="5">
                  <c:v>50-59</c:v>
                </c:pt>
                <c:pt idx="6">
                  <c:v>60-69</c:v>
                </c:pt>
                <c:pt idx="7">
                  <c:v>70-79</c:v>
                </c:pt>
              </c:strCache>
            </c:strRef>
          </c:cat>
          <c:val>
            <c:numRef>
              <c:f>'Pivot Report'!$B$25:$B$33</c:f>
              <c:numCache>
                <c:formatCode>General</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D6A0-4527-A2DC-86A1275895BF}"/>
            </c:ext>
          </c:extLst>
        </c:ser>
        <c:dLbls>
          <c:showLegendKey val="0"/>
          <c:showVal val="0"/>
          <c:showCatName val="0"/>
          <c:showSerName val="0"/>
          <c:showPercent val="0"/>
          <c:showBubbleSize val="0"/>
        </c:dLbls>
        <c:gapWidth val="219"/>
        <c:overlap val="-27"/>
        <c:axId val="717701231"/>
        <c:axId val="717700271"/>
      </c:barChart>
      <c:catAx>
        <c:axId val="71770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700271"/>
        <c:crosses val="autoZero"/>
        <c:auto val="1"/>
        <c:lblAlgn val="ctr"/>
        <c:lblOffset val="100"/>
        <c:noMultiLvlLbl val="0"/>
      </c:catAx>
      <c:valAx>
        <c:axId val="717700271"/>
        <c:scaling>
          <c:orientation val="minMax"/>
        </c:scaling>
        <c:delete val="1"/>
        <c:axPos val="l"/>
        <c:numFmt formatCode="General" sourceLinked="1"/>
        <c:majorTickMark val="none"/>
        <c:minorTickMark val="none"/>
        <c:tickLblPos val="nextTo"/>
        <c:crossAx val="71770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1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8057957250604043"/>
          <c:y val="0.23214487698092551"/>
          <c:w val="0.46330595778228661"/>
          <c:h val="0.60118835219869526"/>
        </c:manualLayout>
      </c:layout>
      <c:pieChart>
        <c:varyColors val="1"/>
        <c:ser>
          <c:idx val="0"/>
          <c:order val="0"/>
          <c:tx>
            <c:strRef>
              <c:f>'Pivot Report'!$B$35</c:f>
              <c:strCache>
                <c:ptCount val="1"/>
                <c:pt idx="0">
                  <c:v>Total</c:v>
                </c:pt>
              </c:strCache>
            </c:strRef>
          </c:tx>
          <c:spPr>
            <a:effectLst/>
          </c:spPr>
          <c:explosion val="4"/>
          <c:dPt>
            <c:idx val="0"/>
            <c:bubble3D val="0"/>
            <c:spPr>
              <a:solidFill>
                <a:schemeClr val="accent1"/>
              </a:solidFill>
              <a:ln>
                <a:noFill/>
              </a:ln>
              <a:effectLst/>
            </c:spPr>
            <c:extLst>
              <c:ext xmlns:c16="http://schemas.microsoft.com/office/drawing/2014/chart" uri="{C3380CC4-5D6E-409C-BE32-E72D297353CC}">
                <c16:uniqueId val="{00000001-B32D-485B-ADB4-080F8E3B22EE}"/>
              </c:ext>
            </c:extLst>
          </c:dPt>
          <c:dPt>
            <c:idx val="1"/>
            <c:bubble3D val="0"/>
            <c:explosion val="0"/>
            <c:spPr>
              <a:solidFill>
                <a:schemeClr val="accent2"/>
              </a:solidFill>
              <a:ln>
                <a:noFill/>
              </a:ln>
              <a:effectLst/>
            </c:spPr>
            <c:extLst>
              <c:ext xmlns:c16="http://schemas.microsoft.com/office/drawing/2014/chart" uri="{C3380CC4-5D6E-409C-BE32-E72D297353CC}">
                <c16:uniqueId val="{00000003-B32D-485B-ADB4-080F8E3B22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Report'!$A$36:$A$38</c:f>
              <c:strCache>
                <c:ptCount val="2"/>
                <c:pt idx="0">
                  <c:v>Delayed treatment</c:v>
                </c:pt>
                <c:pt idx="1">
                  <c:v>On time treatment</c:v>
                </c:pt>
              </c:strCache>
            </c:strRef>
          </c:cat>
          <c:val>
            <c:numRef>
              <c:f>'Pivot Report'!$B$36:$B$38</c:f>
              <c:numCache>
                <c:formatCode>General</c:formatCode>
                <c:ptCount val="2"/>
                <c:pt idx="0">
                  <c:v>257</c:v>
                </c:pt>
                <c:pt idx="1">
                  <c:v>212</c:v>
                </c:pt>
              </c:numCache>
            </c:numRef>
          </c:val>
          <c:extLst>
            <c:ext xmlns:c16="http://schemas.microsoft.com/office/drawing/2014/chart" uri="{C3380CC4-5D6E-409C-BE32-E72D297353CC}">
              <c16:uniqueId val="{00000004-B32D-485B-ADB4-080F8E3B22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3309154537500992"/>
          <c:y val="4.4198895027624308E-2"/>
          <c:w val="0.74728492271799374"/>
          <c:h val="0.1786389408506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2"/>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9525">
            <a:solidFill>
              <a:schemeClr val="lt1"/>
            </a:solidFill>
          </a:ln>
          <a:effectLst>
            <a:outerShdw blurRad="38100" dist="12700" dir="5400000" algn="ctr" rotWithShape="0">
              <a:srgbClr val="000000">
                <a:alpha val="43137"/>
              </a:srgbClr>
            </a:outerShdw>
            <a:softEdge rad="0"/>
          </a:effectLst>
        </c:spPr>
      </c:pivotFmt>
      <c:pivotFmt>
        <c:idx val="2"/>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9525">
            <a:solidFill>
              <a:schemeClr val="lt1"/>
            </a:solidFill>
          </a:ln>
          <a:effectLst>
            <a:outerShdw blurRad="38100" dist="12700" dir="5400000" algn="ctr" rotWithShape="0">
              <a:srgbClr val="000000">
                <a:alpha val="43137"/>
              </a:srgbClr>
            </a:outerShdw>
            <a:softEdge rad="0"/>
          </a:effectLst>
        </c:spPr>
      </c:pivotFmt>
      <c:pivotFmt>
        <c:idx val="4"/>
        <c:spPr>
          <a:solidFill>
            <a:schemeClr val="accent1"/>
          </a:solidFill>
          <a:ln w="9525">
            <a:solidFill>
              <a:schemeClr val="lt1"/>
            </a:solidFill>
          </a:ln>
          <a:effectLst/>
        </c:spPr>
      </c:pivotFmt>
      <c:pivotFmt>
        <c:idx val="5"/>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a:outerShdw blurRad="38100" dist="12700" dir="5400000" algn="ctr" rotWithShape="0">
              <a:srgbClr val="000000">
                <a:alpha val="43137"/>
              </a:srgbClr>
            </a:outerShdw>
            <a:softEdge rad="0"/>
          </a:effectLst>
        </c:spPr>
      </c:pivotFmt>
      <c:pivotFmt>
        <c:idx val="7"/>
        <c:spPr>
          <a:solidFill>
            <a:schemeClr val="accent1"/>
          </a:solidFill>
          <a:ln w="9525">
            <a:solidFill>
              <a:schemeClr val="lt1"/>
            </a:solidFill>
          </a:ln>
          <a:effectLst/>
        </c:spPr>
      </c:pivotFmt>
    </c:pivotFmts>
    <c:plotArea>
      <c:layout>
        <c:manualLayout>
          <c:layoutTarget val="inner"/>
          <c:xMode val="edge"/>
          <c:yMode val="edge"/>
          <c:x val="7.0550465218606598E-2"/>
          <c:y val="0.19570649591657524"/>
          <c:w val="0.66262924410836799"/>
          <c:h val="0.61625322457467968"/>
        </c:manualLayout>
      </c:layout>
      <c:doughnutChart>
        <c:varyColors val="1"/>
        <c:ser>
          <c:idx val="0"/>
          <c:order val="0"/>
          <c:tx>
            <c:strRef>
              <c:f>'Pivot Report'!$B$40</c:f>
              <c:strCache>
                <c:ptCount val="1"/>
                <c:pt idx="0">
                  <c:v>Total</c:v>
                </c:pt>
              </c:strCache>
            </c:strRef>
          </c:tx>
          <c:spPr>
            <a:ln w="9525"/>
          </c:spPr>
          <c:dPt>
            <c:idx val="0"/>
            <c:bubble3D val="0"/>
            <c:spPr>
              <a:solidFill>
                <a:schemeClr val="accent1"/>
              </a:solidFill>
              <a:ln w="9525">
                <a:solidFill>
                  <a:schemeClr val="lt1"/>
                </a:solidFill>
              </a:ln>
              <a:effectLst>
                <a:outerShdw blurRad="38100" dist="12700" dir="5400000" algn="ctr" rotWithShape="0">
                  <a:srgbClr val="000000">
                    <a:alpha val="43137"/>
                  </a:srgbClr>
                </a:outerShdw>
                <a:softEdge rad="0"/>
              </a:effectLst>
            </c:spPr>
            <c:extLst>
              <c:ext xmlns:c16="http://schemas.microsoft.com/office/drawing/2014/chart" uri="{C3380CC4-5D6E-409C-BE32-E72D297353CC}">
                <c16:uniqueId val="{00000001-A565-480D-90A6-75DF8A82C590}"/>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3-A565-480D-90A6-75DF8A82C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Report'!$A$41:$A$43</c:f>
              <c:strCache>
                <c:ptCount val="2"/>
                <c:pt idx="0">
                  <c:v>Female</c:v>
                </c:pt>
                <c:pt idx="1">
                  <c:v>Male</c:v>
                </c:pt>
              </c:strCache>
            </c:strRef>
          </c:cat>
          <c:val>
            <c:numRef>
              <c:f>'Pivot Report'!$B$41:$B$43</c:f>
              <c:numCache>
                <c:formatCode>General</c:formatCode>
                <c:ptCount val="2"/>
                <c:pt idx="0">
                  <c:v>219</c:v>
                </c:pt>
                <c:pt idx="1">
                  <c:v>250</c:v>
                </c:pt>
              </c:numCache>
            </c:numRef>
          </c:val>
          <c:extLst>
            <c:ext xmlns:c16="http://schemas.microsoft.com/office/drawing/2014/chart" uri="{C3380CC4-5D6E-409C-BE32-E72D297353CC}">
              <c16:uniqueId val="{00000004-A565-480D-90A6-75DF8A82C590}"/>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
          <c:y val="2.3726305045202706E-2"/>
          <c:w val="0.9255409495354499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78405259974271"/>
          <c:y val="1.6985141790269609E-2"/>
          <c:w val="0.77521594740025734"/>
          <c:h val="0.79043703217906247"/>
        </c:manualLayout>
      </c:layout>
      <c:barChart>
        <c:barDir val="bar"/>
        <c:grouping val="clustered"/>
        <c:varyColors val="0"/>
        <c:ser>
          <c:idx val="0"/>
          <c:order val="0"/>
          <c:tx>
            <c:strRef>
              <c:f>'Pivot Report'!$B$45</c:f>
              <c:strCache>
                <c:ptCount val="1"/>
                <c:pt idx="0">
                  <c:v>Total</c:v>
                </c:pt>
              </c:strCache>
            </c:strRef>
          </c:tx>
          <c:spPr>
            <a:solidFill>
              <a:schemeClr val="accent1"/>
            </a:solidFill>
            <a:ln w="15875">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Report'!$A$46:$A$54</c:f>
              <c:strCache>
                <c:ptCount val="8"/>
                <c:pt idx="0">
                  <c:v>None</c:v>
                </c:pt>
                <c:pt idx="1">
                  <c:v>General Practice</c:v>
                </c:pt>
                <c:pt idx="2">
                  <c:v>Orthopedics</c:v>
                </c:pt>
                <c:pt idx="3">
                  <c:v>Physiotherapy</c:v>
                </c:pt>
                <c:pt idx="4">
                  <c:v>Cardiology</c:v>
                </c:pt>
                <c:pt idx="5">
                  <c:v>Gastroenterology</c:v>
                </c:pt>
                <c:pt idx="6">
                  <c:v>Neurology</c:v>
                </c:pt>
                <c:pt idx="7">
                  <c:v>Renal</c:v>
                </c:pt>
              </c:strCache>
            </c:strRef>
          </c:cat>
          <c:val>
            <c:numRef>
              <c:f>'Pivot Report'!$B$46:$B$54</c:f>
              <c:numCache>
                <c:formatCode>General</c:formatCode>
                <c:ptCount val="8"/>
                <c:pt idx="0">
                  <c:v>260</c:v>
                </c:pt>
                <c:pt idx="1">
                  <c:v>107</c:v>
                </c:pt>
                <c:pt idx="2">
                  <c:v>48</c:v>
                </c:pt>
                <c:pt idx="3">
                  <c:v>17</c:v>
                </c:pt>
                <c:pt idx="4">
                  <c:v>13</c:v>
                </c:pt>
                <c:pt idx="5">
                  <c:v>11</c:v>
                </c:pt>
                <c:pt idx="6">
                  <c:v>7</c:v>
                </c:pt>
                <c:pt idx="7">
                  <c:v>6</c:v>
                </c:pt>
              </c:numCache>
            </c:numRef>
          </c:val>
          <c:extLst>
            <c:ext xmlns:c16="http://schemas.microsoft.com/office/drawing/2014/chart" uri="{C3380CC4-5D6E-409C-BE32-E72D297353CC}">
              <c16:uniqueId val="{00000000-51E1-4E87-A8CC-B3034E566F68}"/>
            </c:ext>
          </c:extLst>
        </c:ser>
        <c:dLbls>
          <c:showLegendKey val="0"/>
          <c:showVal val="0"/>
          <c:showCatName val="0"/>
          <c:showSerName val="0"/>
          <c:showPercent val="0"/>
          <c:showBubbleSize val="0"/>
        </c:dLbls>
        <c:gapWidth val="59"/>
        <c:axId val="785675023"/>
        <c:axId val="785674063"/>
      </c:barChart>
      <c:catAx>
        <c:axId val="785675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85674063"/>
        <c:crosses val="autoZero"/>
        <c:auto val="1"/>
        <c:lblAlgn val="ctr"/>
        <c:lblOffset val="100"/>
        <c:noMultiLvlLbl val="0"/>
      </c:catAx>
      <c:valAx>
        <c:axId val="785674063"/>
        <c:scaling>
          <c:orientation val="minMax"/>
        </c:scaling>
        <c:delete val="1"/>
        <c:axPos val="b"/>
        <c:numFmt formatCode="General" sourceLinked="1"/>
        <c:majorTickMark val="none"/>
        <c:minorTickMark val="none"/>
        <c:tickLblPos val="nextTo"/>
        <c:crossAx val="7856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number of patient visiting ER each day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Report'!$G$5:$G$35</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5ECD-4160-9C19-8E07E8313BA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27583"/>
        <c:axId val="127836223"/>
      </c:areaChart>
      <c:catAx>
        <c:axId val="1278275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836223"/>
        <c:crosses val="autoZero"/>
        <c:auto val="1"/>
        <c:lblAlgn val="ctr"/>
        <c:lblOffset val="100"/>
        <c:noMultiLvlLbl val="0"/>
      </c:catAx>
      <c:valAx>
        <c:axId val="127836223"/>
        <c:scaling>
          <c:orientation val="minMax"/>
        </c:scaling>
        <c:delete val="1"/>
        <c:axPos val="l"/>
        <c:numFmt formatCode="General" sourceLinked="1"/>
        <c:majorTickMark val="out"/>
        <c:minorTickMark val="none"/>
        <c:tickLblPos val="nextTo"/>
        <c:crossAx val="127827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Report!PivotTable5</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wait time of patients per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Report'!$J$5:$J$35</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A70E-41A5-8AD7-93A7C3EBA8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909183"/>
        <c:axId val="127895263"/>
      </c:areaChart>
      <c:catAx>
        <c:axId val="1279091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895263"/>
        <c:crosses val="autoZero"/>
        <c:auto val="1"/>
        <c:lblAlgn val="ctr"/>
        <c:lblOffset val="100"/>
        <c:noMultiLvlLbl val="0"/>
      </c:catAx>
      <c:valAx>
        <c:axId val="127895263"/>
        <c:scaling>
          <c:orientation val="minMax"/>
        </c:scaling>
        <c:delete val="1"/>
        <c:axPos val="l"/>
        <c:numFmt formatCode="0.00" sourceLinked="1"/>
        <c:majorTickMark val="out"/>
        <c:minorTickMark val="none"/>
        <c:tickLblPos val="nextTo"/>
        <c:crossAx val="127909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2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Patient Satisfactory score per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Report'!$M$5:$M$35</c:f>
              <c:numCache>
                <c:formatCode>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E52C-41C2-98CD-43B43783EE4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880383"/>
        <c:axId val="127880863"/>
      </c:areaChart>
      <c:catAx>
        <c:axId val="1278803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880863"/>
        <c:crosses val="autoZero"/>
        <c:auto val="1"/>
        <c:lblAlgn val="ctr"/>
        <c:lblOffset val="100"/>
        <c:noMultiLvlLbl val="0"/>
      </c:catAx>
      <c:valAx>
        <c:axId val="127880863"/>
        <c:scaling>
          <c:orientation val="minMax"/>
        </c:scaling>
        <c:delete val="1"/>
        <c:axPos val="l"/>
        <c:numFmt formatCode="0.0" sourceLinked="1"/>
        <c:majorTickMark val="out"/>
        <c:minorTickMark val="none"/>
        <c:tickLblPos val="nextTo"/>
        <c:crossAx val="127880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patient wait time'!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hyperlink" Target="#'Patient Feedback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no. of patients visiting'!A1"/><Relationship Id="rId11" Type="http://schemas.openxmlformats.org/officeDocument/2006/relationships/image" Target="../media/image7.svg"/><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1228725</xdr:colOff>
      <xdr:row>18</xdr:row>
      <xdr:rowOff>76200</xdr:rowOff>
    </xdr:from>
    <xdr:to>
      <xdr:col>3</xdr:col>
      <xdr:colOff>1485900</xdr:colOff>
      <xdr:row>21</xdr:row>
      <xdr:rowOff>90486</xdr:rowOff>
    </xdr:to>
    <xdr:graphicFrame macro="">
      <xdr:nvGraphicFramePr>
        <xdr:cNvPr id="12" name="Chart 11">
          <a:extLst>
            <a:ext uri="{FF2B5EF4-FFF2-40B4-BE49-F238E27FC236}">
              <a16:creationId xmlns:a16="http://schemas.microsoft.com/office/drawing/2014/main" id="{18E90587-C055-D482-E035-172B5F96B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857251</xdr:colOff>
      <xdr:row>28</xdr:row>
      <xdr:rowOff>85727</xdr:rowOff>
    </xdr:from>
    <xdr:to>
      <xdr:col>2</xdr:col>
      <xdr:colOff>1847851</xdr:colOff>
      <xdr:row>32</xdr:row>
      <xdr:rowOff>0</xdr:rowOff>
    </xdr:to>
    <mc:AlternateContent xmlns:mc="http://schemas.openxmlformats.org/markup-compatibility/2006">
      <mc:Choice xmlns:a14="http://schemas.microsoft.com/office/drawing/2010/main" Requires="a14">
        <xdr:graphicFrame macro="">
          <xdr:nvGraphicFramePr>
            <xdr:cNvPr id="17" name="Date (Year)">
              <a:extLst>
                <a:ext uri="{FF2B5EF4-FFF2-40B4-BE49-F238E27FC236}">
                  <a16:creationId xmlns:a16="http://schemas.microsoft.com/office/drawing/2014/main" id="{7EF586CB-9082-8A8D-65DC-A732CBCEDD9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143376" y="5419727"/>
              <a:ext cx="990600" cy="676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102367</xdr:colOff>
      <xdr:row>0</xdr:row>
      <xdr:rowOff>69055</xdr:rowOff>
    </xdr:from>
    <xdr:to>
      <xdr:col>7</xdr:col>
      <xdr:colOff>547688</xdr:colOff>
      <xdr:row>4</xdr:row>
      <xdr:rowOff>92869</xdr:rowOff>
    </xdr:to>
    <xdr:sp macro="" textlink="">
      <xdr:nvSpPr>
        <xdr:cNvPr id="4" name="Rectangle: Rounded Corners 3">
          <a:extLst>
            <a:ext uri="{FF2B5EF4-FFF2-40B4-BE49-F238E27FC236}">
              <a16:creationId xmlns:a16="http://schemas.microsoft.com/office/drawing/2014/main" id="{D48D2371-513C-E6FB-9D21-EE82F025408E}"/>
            </a:ext>
          </a:extLst>
        </xdr:cNvPr>
        <xdr:cNvSpPr/>
      </xdr:nvSpPr>
      <xdr:spPr>
        <a:xfrm>
          <a:off x="102367" y="69055"/>
          <a:ext cx="4712521" cy="785814"/>
        </a:xfrm>
        <a:prstGeom prst="roundRect">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7</xdr:col>
      <xdr:colOff>590548</xdr:colOff>
      <xdr:row>0</xdr:row>
      <xdr:rowOff>59530</xdr:rowOff>
    </xdr:from>
    <xdr:to>
      <xdr:col>11</xdr:col>
      <xdr:colOff>76200</xdr:colOff>
      <xdr:row>4</xdr:row>
      <xdr:rowOff>76200</xdr:rowOff>
    </xdr:to>
    <xdr:sp macro="" textlink="">
      <xdr:nvSpPr>
        <xdr:cNvPr id="5" name="Rectangle: Rounded Corners 4">
          <a:extLst>
            <a:ext uri="{FF2B5EF4-FFF2-40B4-BE49-F238E27FC236}">
              <a16:creationId xmlns:a16="http://schemas.microsoft.com/office/drawing/2014/main" id="{2BD96A20-A31B-7AA6-16B1-76A41D0BFC60}"/>
            </a:ext>
          </a:extLst>
        </xdr:cNvPr>
        <xdr:cNvSpPr/>
      </xdr:nvSpPr>
      <xdr:spPr>
        <a:xfrm>
          <a:off x="4857748" y="59530"/>
          <a:ext cx="1924052" cy="778670"/>
        </a:xfrm>
        <a:prstGeom prst="roundRect">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133347</xdr:colOff>
      <xdr:row>4</xdr:row>
      <xdr:rowOff>142875</xdr:rowOff>
    </xdr:from>
    <xdr:to>
      <xdr:col>1</xdr:col>
      <xdr:colOff>133348</xdr:colOff>
      <xdr:row>20</xdr:row>
      <xdr:rowOff>0</xdr:rowOff>
    </xdr:to>
    <xdr:sp macro="" textlink="">
      <xdr:nvSpPr>
        <xdr:cNvPr id="6" name="Rectangle: Rounded Corners 5">
          <a:extLst>
            <a:ext uri="{FF2B5EF4-FFF2-40B4-BE49-F238E27FC236}">
              <a16:creationId xmlns:a16="http://schemas.microsoft.com/office/drawing/2014/main" id="{1E048CE3-D1AC-060E-684C-BBC49ACC9FAF}"/>
            </a:ext>
          </a:extLst>
        </xdr:cNvPr>
        <xdr:cNvSpPr/>
      </xdr:nvSpPr>
      <xdr:spPr>
        <a:xfrm rot="5400000">
          <a:off x="-1014415" y="2052637"/>
          <a:ext cx="2905125" cy="609601"/>
        </a:xfrm>
        <a:prstGeom prst="roundRect">
          <a:avLst>
            <a:gd name="adj" fmla="val 0"/>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209550</xdr:colOff>
      <xdr:row>4</xdr:row>
      <xdr:rowOff>134410</xdr:rowOff>
    </xdr:from>
    <xdr:to>
      <xdr:col>4</xdr:col>
      <xdr:colOff>247650</xdr:colOff>
      <xdr:row>8</xdr:row>
      <xdr:rowOff>161925</xdr:rowOff>
    </xdr:to>
    <xdr:sp macro="" textlink="">
      <xdr:nvSpPr>
        <xdr:cNvPr id="7" name="Rectangle: Rounded Corners 6">
          <a:extLst>
            <a:ext uri="{FF2B5EF4-FFF2-40B4-BE49-F238E27FC236}">
              <a16:creationId xmlns:a16="http://schemas.microsoft.com/office/drawing/2014/main" id="{9A106BE0-99DC-8C3A-E0C8-7AEC5676E457}"/>
            </a:ext>
          </a:extLst>
        </xdr:cNvPr>
        <xdr:cNvSpPr/>
      </xdr:nvSpPr>
      <xdr:spPr>
        <a:xfrm>
          <a:off x="819150" y="896410"/>
          <a:ext cx="1866900" cy="789515"/>
        </a:xfrm>
        <a:prstGeom prst="roundRect">
          <a:avLst>
            <a:gd name="adj" fmla="val 8658"/>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321566</xdr:colOff>
      <xdr:row>4</xdr:row>
      <xdr:rowOff>133350</xdr:rowOff>
    </xdr:from>
    <xdr:to>
      <xdr:col>7</xdr:col>
      <xdr:colOff>381000</xdr:colOff>
      <xdr:row>8</xdr:row>
      <xdr:rowOff>171449</xdr:rowOff>
    </xdr:to>
    <xdr:sp macro="" textlink="">
      <xdr:nvSpPr>
        <xdr:cNvPr id="8" name="Rectangle: Rounded Corners 7">
          <a:extLst>
            <a:ext uri="{FF2B5EF4-FFF2-40B4-BE49-F238E27FC236}">
              <a16:creationId xmlns:a16="http://schemas.microsoft.com/office/drawing/2014/main" id="{5BF93DF5-C301-331E-F853-5C17CBD2D99F}"/>
            </a:ext>
          </a:extLst>
        </xdr:cNvPr>
        <xdr:cNvSpPr/>
      </xdr:nvSpPr>
      <xdr:spPr>
        <a:xfrm>
          <a:off x="2759966" y="895350"/>
          <a:ext cx="1888234" cy="800099"/>
        </a:xfrm>
        <a:prstGeom prst="roundRect">
          <a:avLst>
            <a:gd name="adj" fmla="val 8233"/>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457201</xdr:colOff>
      <xdr:row>4</xdr:row>
      <xdr:rowOff>114300</xdr:rowOff>
    </xdr:from>
    <xdr:to>
      <xdr:col>11</xdr:col>
      <xdr:colOff>66675</xdr:colOff>
      <xdr:row>8</xdr:row>
      <xdr:rowOff>171450</xdr:rowOff>
    </xdr:to>
    <xdr:sp macro="" textlink="">
      <xdr:nvSpPr>
        <xdr:cNvPr id="9" name="Rectangle: Rounded Corners 8">
          <a:extLst>
            <a:ext uri="{FF2B5EF4-FFF2-40B4-BE49-F238E27FC236}">
              <a16:creationId xmlns:a16="http://schemas.microsoft.com/office/drawing/2014/main" id="{E1CF7A24-D9EA-F7D2-04D8-1F476880DBB2}"/>
            </a:ext>
          </a:extLst>
        </xdr:cNvPr>
        <xdr:cNvSpPr/>
      </xdr:nvSpPr>
      <xdr:spPr>
        <a:xfrm>
          <a:off x="4724401" y="876300"/>
          <a:ext cx="2047874" cy="819150"/>
        </a:xfrm>
        <a:prstGeom prst="roundRect">
          <a:avLst>
            <a:gd name="adj" fmla="val 8621"/>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200720</xdr:colOff>
      <xdr:row>12</xdr:row>
      <xdr:rowOff>76200</xdr:rowOff>
    </xdr:from>
    <xdr:to>
      <xdr:col>11</xdr:col>
      <xdr:colOff>76200</xdr:colOff>
      <xdr:row>20</xdr:row>
      <xdr:rowOff>0</xdr:rowOff>
    </xdr:to>
    <xdr:sp macro="" textlink="">
      <xdr:nvSpPr>
        <xdr:cNvPr id="18" name="Rectangle: Rounded Corners 17">
          <a:extLst>
            <a:ext uri="{FF2B5EF4-FFF2-40B4-BE49-F238E27FC236}">
              <a16:creationId xmlns:a16="http://schemas.microsoft.com/office/drawing/2014/main" id="{4C2D882A-78D9-AE6B-A305-95E00CD0EE9C}"/>
            </a:ext>
          </a:extLst>
        </xdr:cNvPr>
        <xdr:cNvSpPr/>
      </xdr:nvSpPr>
      <xdr:spPr>
        <a:xfrm>
          <a:off x="810320" y="2362200"/>
          <a:ext cx="5971480" cy="1447800"/>
        </a:xfrm>
        <a:prstGeom prst="roundRect">
          <a:avLst>
            <a:gd name="adj" fmla="val 3762"/>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142898</xdr:colOff>
      <xdr:row>0</xdr:row>
      <xdr:rowOff>66676</xdr:rowOff>
    </xdr:from>
    <xdr:to>
      <xdr:col>14</xdr:col>
      <xdr:colOff>419100</xdr:colOff>
      <xdr:row>8</xdr:row>
      <xdr:rowOff>142875</xdr:rowOff>
    </xdr:to>
    <xdr:sp macro="" textlink="">
      <xdr:nvSpPr>
        <xdr:cNvPr id="19" name="Rectangle: Rounded Corners 18">
          <a:extLst>
            <a:ext uri="{FF2B5EF4-FFF2-40B4-BE49-F238E27FC236}">
              <a16:creationId xmlns:a16="http://schemas.microsoft.com/office/drawing/2014/main" id="{E6DB6289-5D4D-0076-D6B8-DBA6DD876A56}"/>
            </a:ext>
          </a:extLst>
        </xdr:cNvPr>
        <xdr:cNvSpPr/>
      </xdr:nvSpPr>
      <xdr:spPr>
        <a:xfrm>
          <a:off x="6848498" y="66676"/>
          <a:ext cx="2105002" cy="1600199"/>
        </a:xfrm>
        <a:prstGeom prst="roundRect">
          <a:avLst>
            <a:gd name="adj" fmla="val 5287"/>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473727</xdr:colOff>
      <xdr:row>0</xdr:row>
      <xdr:rowOff>58911</xdr:rowOff>
    </xdr:from>
    <xdr:to>
      <xdr:col>17</xdr:col>
      <xdr:colOff>552450</xdr:colOff>
      <xdr:row>8</xdr:row>
      <xdr:rowOff>133351</xdr:rowOff>
    </xdr:to>
    <xdr:sp macro="" textlink="">
      <xdr:nvSpPr>
        <xdr:cNvPr id="20" name="Rectangle: Rounded Corners 19">
          <a:extLst>
            <a:ext uri="{FF2B5EF4-FFF2-40B4-BE49-F238E27FC236}">
              <a16:creationId xmlns:a16="http://schemas.microsoft.com/office/drawing/2014/main" id="{1B108FD5-5CC5-C9AC-A93F-AE2DE70EFE4C}"/>
            </a:ext>
          </a:extLst>
        </xdr:cNvPr>
        <xdr:cNvSpPr/>
      </xdr:nvSpPr>
      <xdr:spPr>
        <a:xfrm>
          <a:off x="9008127" y="58911"/>
          <a:ext cx="1907523" cy="1598440"/>
        </a:xfrm>
        <a:prstGeom prst="roundRect">
          <a:avLst>
            <a:gd name="adj" fmla="val 7194"/>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130751</xdr:colOff>
      <xdr:row>9</xdr:row>
      <xdr:rowOff>830</xdr:rowOff>
    </xdr:from>
    <xdr:to>
      <xdr:col>17</xdr:col>
      <xdr:colOff>561975</xdr:colOff>
      <xdr:row>19</xdr:row>
      <xdr:rowOff>180976</xdr:rowOff>
    </xdr:to>
    <xdr:sp macro="" textlink="">
      <xdr:nvSpPr>
        <xdr:cNvPr id="21" name="Rectangle: Rounded Corners 20">
          <a:extLst>
            <a:ext uri="{FF2B5EF4-FFF2-40B4-BE49-F238E27FC236}">
              <a16:creationId xmlns:a16="http://schemas.microsoft.com/office/drawing/2014/main" id="{0C82D19E-CC67-68B4-4EEF-D40E9670B7B4}"/>
            </a:ext>
          </a:extLst>
        </xdr:cNvPr>
        <xdr:cNvSpPr/>
      </xdr:nvSpPr>
      <xdr:spPr>
        <a:xfrm>
          <a:off x="6836351" y="1715330"/>
          <a:ext cx="4088824" cy="2085146"/>
        </a:xfrm>
        <a:prstGeom prst="roundRect">
          <a:avLst>
            <a:gd name="adj" fmla="val 3449"/>
          </a:avLst>
        </a:prstGeom>
        <a:solidFill>
          <a:srgbClr val="F8F8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335565</xdr:colOff>
      <xdr:row>0</xdr:row>
      <xdr:rowOff>148074</xdr:rowOff>
    </xdr:from>
    <xdr:to>
      <xdr:col>7</xdr:col>
      <xdr:colOff>416719</xdr:colOff>
      <xdr:row>3</xdr:row>
      <xdr:rowOff>34212</xdr:rowOff>
    </xdr:to>
    <xdr:sp macro="" textlink="">
      <xdr:nvSpPr>
        <xdr:cNvPr id="26" name="TextBox 25">
          <a:extLst>
            <a:ext uri="{FF2B5EF4-FFF2-40B4-BE49-F238E27FC236}">
              <a16:creationId xmlns:a16="http://schemas.microsoft.com/office/drawing/2014/main" id="{337F2AF4-D6F6-2071-0363-55A3DFF254AF}"/>
            </a:ext>
          </a:extLst>
        </xdr:cNvPr>
        <xdr:cNvSpPr txBox="1"/>
      </xdr:nvSpPr>
      <xdr:spPr>
        <a:xfrm>
          <a:off x="942784" y="148074"/>
          <a:ext cx="3724466" cy="45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 </a:t>
          </a:r>
          <a:r>
            <a:rPr lang="en-IN" sz="2400" b="1"/>
            <a:t>Emergency</a:t>
          </a:r>
          <a:r>
            <a:rPr lang="en-IN" sz="2400" b="1" baseline="0"/>
            <a:t> Room Dashboard</a:t>
          </a:r>
          <a:endParaRPr lang="en-IN" sz="2200" b="1"/>
        </a:p>
      </xdr:txBody>
    </xdr:sp>
    <xdr:clientData/>
  </xdr:twoCellAnchor>
  <xdr:twoCellAnchor editAs="oneCell">
    <xdr:from>
      <xdr:col>0</xdr:col>
      <xdr:colOff>171451</xdr:colOff>
      <xdr:row>0</xdr:row>
      <xdr:rowOff>107156</xdr:rowOff>
    </xdr:from>
    <xdr:to>
      <xdr:col>1</xdr:col>
      <xdr:colOff>350044</xdr:colOff>
      <xdr:row>4</xdr:row>
      <xdr:rowOff>47625</xdr:rowOff>
    </xdr:to>
    <xdr:pic>
      <xdr:nvPicPr>
        <xdr:cNvPr id="3" name="Picture 2">
          <a:extLst>
            <a:ext uri="{FF2B5EF4-FFF2-40B4-BE49-F238E27FC236}">
              <a16:creationId xmlns:a16="http://schemas.microsoft.com/office/drawing/2014/main" id="{E259C2FE-BAD5-0F95-98D4-47C62DC1DE9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 b="5868"/>
        <a:stretch>
          <a:fillRect/>
        </a:stretch>
      </xdr:blipFill>
      <xdr:spPr>
        <a:xfrm>
          <a:off x="171451" y="107156"/>
          <a:ext cx="788193" cy="702469"/>
        </a:xfrm>
        <a:prstGeom prst="rect">
          <a:avLst/>
        </a:prstGeom>
      </xdr:spPr>
    </xdr:pic>
    <xdr:clientData/>
  </xdr:twoCellAnchor>
  <xdr:twoCellAnchor>
    <xdr:from>
      <xdr:col>3</xdr:col>
      <xdr:colOff>202408</xdr:colOff>
      <xdr:row>2</xdr:row>
      <xdr:rowOff>142876</xdr:rowOff>
    </xdr:from>
    <xdr:to>
      <xdr:col>7</xdr:col>
      <xdr:colOff>190501</xdr:colOff>
      <xdr:row>4</xdr:row>
      <xdr:rowOff>1</xdr:rowOff>
    </xdr:to>
    <xdr:sp macro="" textlink="">
      <xdr:nvSpPr>
        <xdr:cNvPr id="10" name="TextBox 9">
          <a:extLst>
            <a:ext uri="{FF2B5EF4-FFF2-40B4-BE49-F238E27FC236}">
              <a16:creationId xmlns:a16="http://schemas.microsoft.com/office/drawing/2014/main" id="{A5B1B745-560F-D144-4908-3895E56449EE}"/>
            </a:ext>
          </a:extLst>
        </xdr:cNvPr>
        <xdr:cNvSpPr txBox="1"/>
      </xdr:nvSpPr>
      <xdr:spPr>
        <a:xfrm>
          <a:off x="2024064" y="523876"/>
          <a:ext cx="241696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Monthly</a:t>
          </a:r>
          <a:r>
            <a:rPr lang="en-IN" sz="1400" b="1" baseline="0"/>
            <a:t> Report</a:t>
          </a:r>
          <a:endParaRPr lang="en-IN" sz="1400" b="1"/>
        </a:p>
      </xdr:txBody>
    </xdr:sp>
    <xdr:clientData/>
  </xdr:twoCellAnchor>
  <xdr:twoCellAnchor editAs="absolute">
    <xdr:from>
      <xdr:col>1</xdr:col>
      <xdr:colOff>600076</xdr:colOff>
      <xdr:row>6</xdr:row>
      <xdr:rowOff>47624</xdr:rowOff>
    </xdr:from>
    <xdr:to>
      <xdr:col>3</xdr:col>
      <xdr:colOff>495300</xdr:colOff>
      <xdr:row>7</xdr:row>
      <xdr:rowOff>106271</xdr:rowOff>
    </xdr:to>
    <xdr:sp macro="" textlink="">
      <xdr:nvSpPr>
        <xdr:cNvPr id="14" name="TextBox 13">
          <a:extLst>
            <a:ext uri="{FF2B5EF4-FFF2-40B4-BE49-F238E27FC236}">
              <a16:creationId xmlns:a16="http://schemas.microsoft.com/office/drawing/2014/main" id="{1D516E96-DB25-4431-B58C-145E2ACAFBFB}"/>
            </a:ext>
          </a:extLst>
        </xdr:cNvPr>
        <xdr:cNvSpPr txBox="1"/>
      </xdr:nvSpPr>
      <xdr:spPr>
        <a:xfrm>
          <a:off x="1209676" y="1190624"/>
          <a:ext cx="1114424" cy="24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Number</a:t>
          </a:r>
          <a:r>
            <a:rPr lang="en-IN" sz="1100" baseline="0"/>
            <a:t> of Patient</a:t>
          </a:r>
          <a:endParaRPr lang="en-IN" sz="1600" b="1"/>
        </a:p>
      </xdr:txBody>
    </xdr:sp>
    <xdr:clientData/>
  </xdr:twoCellAnchor>
  <xdr:twoCellAnchor editAs="absolute">
    <xdr:from>
      <xdr:col>2</xdr:col>
      <xdr:colOff>314324</xdr:colOff>
      <xdr:row>4</xdr:row>
      <xdr:rowOff>114299</xdr:rowOff>
    </xdr:from>
    <xdr:to>
      <xdr:col>3</xdr:col>
      <xdr:colOff>561975</xdr:colOff>
      <xdr:row>6</xdr:row>
      <xdr:rowOff>142875</xdr:rowOff>
    </xdr:to>
    <xdr:sp macro="" textlink="'Pivot Report'!A5">
      <xdr:nvSpPr>
        <xdr:cNvPr id="15" name="TextBox 14">
          <a:extLst>
            <a:ext uri="{FF2B5EF4-FFF2-40B4-BE49-F238E27FC236}">
              <a16:creationId xmlns:a16="http://schemas.microsoft.com/office/drawing/2014/main" id="{8C76DEB7-F6F5-B885-DCC5-693B6EB19E8B}"/>
            </a:ext>
          </a:extLst>
        </xdr:cNvPr>
        <xdr:cNvSpPr txBox="1"/>
      </xdr:nvSpPr>
      <xdr:spPr>
        <a:xfrm>
          <a:off x="1533524" y="876299"/>
          <a:ext cx="857251"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1CB0DFB-B00C-4339-9650-8D70C2BB48F3}" type="TxLink">
            <a:rPr lang="en-US" sz="2400" b="0" i="0" u="none" strike="noStrike" baseline="0">
              <a:solidFill>
                <a:srgbClr val="000000"/>
              </a:solidFill>
              <a:latin typeface="Calibri"/>
              <a:cs typeface="Calibri"/>
            </a:rPr>
            <a:pPr/>
            <a:t>469</a:t>
          </a:fld>
          <a:endParaRPr lang="en-IN" sz="3600" b="0"/>
        </a:p>
      </xdr:txBody>
    </xdr:sp>
    <xdr:clientData/>
  </xdr:twoCellAnchor>
  <xdr:twoCellAnchor editAs="absolute">
    <xdr:from>
      <xdr:col>5</xdr:col>
      <xdr:colOff>133351</xdr:colOff>
      <xdr:row>6</xdr:row>
      <xdr:rowOff>38099</xdr:rowOff>
    </xdr:from>
    <xdr:to>
      <xdr:col>7</xdr:col>
      <xdr:colOff>114300</xdr:colOff>
      <xdr:row>7</xdr:row>
      <xdr:rowOff>96746</xdr:rowOff>
    </xdr:to>
    <xdr:sp macro="" textlink="">
      <xdr:nvSpPr>
        <xdr:cNvPr id="24" name="TextBox 23">
          <a:extLst>
            <a:ext uri="{FF2B5EF4-FFF2-40B4-BE49-F238E27FC236}">
              <a16:creationId xmlns:a16="http://schemas.microsoft.com/office/drawing/2014/main" id="{A7B1D1AB-D3C1-62BD-47CF-E44295D0FD6D}"/>
            </a:ext>
          </a:extLst>
        </xdr:cNvPr>
        <xdr:cNvSpPr txBox="1"/>
      </xdr:nvSpPr>
      <xdr:spPr>
        <a:xfrm>
          <a:off x="3181351" y="1181099"/>
          <a:ext cx="1200149" cy="24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Average</a:t>
          </a:r>
          <a:r>
            <a:rPr lang="en-IN" sz="1100" baseline="0"/>
            <a:t> Wait Time</a:t>
          </a:r>
          <a:endParaRPr lang="en-IN" sz="1600" b="1"/>
        </a:p>
      </xdr:txBody>
    </xdr:sp>
    <xdr:clientData/>
  </xdr:twoCellAnchor>
  <xdr:twoCellAnchor editAs="absolute">
    <xdr:from>
      <xdr:col>5</xdr:col>
      <xdr:colOff>304800</xdr:colOff>
      <xdr:row>4</xdr:row>
      <xdr:rowOff>104775</xdr:rowOff>
    </xdr:from>
    <xdr:to>
      <xdr:col>7</xdr:col>
      <xdr:colOff>38100</xdr:colOff>
      <xdr:row>7</xdr:row>
      <xdr:rowOff>19050</xdr:rowOff>
    </xdr:to>
    <xdr:sp macro="" textlink="'Pivot Report'!A8">
      <xdr:nvSpPr>
        <xdr:cNvPr id="25" name="TextBox 24">
          <a:extLst>
            <a:ext uri="{FF2B5EF4-FFF2-40B4-BE49-F238E27FC236}">
              <a16:creationId xmlns:a16="http://schemas.microsoft.com/office/drawing/2014/main" id="{D32E5CF9-D6C8-A992-C677-F7C45B69A2B1}"/>
            </a:ext>
          </a:extLst>
        </xdr:cNvPr>
        <xdr:cNvSpPr txBox="1"/>
      </xdr:nvSpPr>
      <xdr:spPr>
        <a:xfrm>
          <a:off x="3352800" y="866775"/>
          <a:ext cx="952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02036D1-36B5-42C2-B538-017BB208D49B}" type="TxLink">
            <a:rPr lang="en-US" sz="2400" b="0" i="0" u="none" strike="noStrike">
              <a:solidFill>
                <a:srgbClr val="000000"/>
              </a:solidFill>
              <a:latin typeface="Calibri"/>
              <a:cs typeface="Calibri"/>
            </a:rPr>
            <a:pPr/>
            <a:t>34.27</a:t>
          </a:fld>
          <a:endParaRPr lang="en-IN" sz="3600" b="0"/>
        </a:p>
      </xdr:txBody>
    </xdr:sp>
    <xdr:clientData/>
  </xdr:twoCellAnchor>
  <xdr:twoCellAnchor editAs="absolute">
    <xdr:from>
      <xdr:col>8</xdr:col>
      <xdr:colOff>533400</xdr:colOff>
      <xdr:row>4</xdr:row>
      <xdr:rowOff>104774</xdr:rowOff>
    </xdr:from>
    <xdr:to>
      <xdr:col>10</xdr:col>
      <xdr:colOff>342900</xdr:colOff>
      <xdr:row>6</xdr:row>
      <xdr:rowOff>180975</xdr:rowOff>
    </xdr:to>
    <xdr:sp macro="" textlink="'Pivot Report'!A11">
      <xdr:nvSpPr>
        <xdr:cNvPr id="27" name="TextBox 26">
          <a:extLst>
            <a:ext uri="{FF2B5EF4-FFF2-40B4-BE49-F238E27FC236}">
              <a16:creationId xmlns:a16="http://schemas.microsoft.com/office/drawing/2014/main" id="{A868F928-4ADE-266B-30D5-A94AE5498CE1}"/>
            </a:ext>
          </a:extLst>
        </xdr:cNvPr>
        <xdr:cNvSpPr txBox="1"/>
      </xdr:nvSpPr>
      <xdr:spPr>
        <a:xfrm>
          <a:off x="5410200" y="866774"/>
          <a:ext cx="102870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3368677-8135-451D-ACB7-8B48F8DD4908}" type="TxLink">
            <a:rPr lang="en-US" sz="2400" b="0" i="0" u="none" strike="noStrike">
              <a:solidFill>
                <a:srgbClr val="000000"/>
              </a:solidFill>
              <a:latin typeface="Calibri"/>
              <a:cs typeface="Calibri"/>
            </a:rPr>
            <a:pPr/>
            <a:t>4.98</a:t>
          </a:fld>
          <a:endParaRPr lang="en-IN" sz="3600" b="0"/>
        </a:p>
      </xdr:txBody>
    </xdr:sp>
    <xdr:clientData/>
  </xdr:twoCellAnchor>
  <xdr:twoCellAnchor editAs="absolute">
    <xdr:from>
      <xdr:col>8</xdr:col>
      <xdr:colOff>95250</xdr:colOff>
      <xdr:row>6</xdr:row>
      <xdr:rowOff>47624</xdr:rowOff>
    </xdr:from>
    <xdr:to>
      <xdr:col>10</xdr:col>
      <xdr:colOff>447675</xdr:colOff>
      <xdr:row>7</xdr:row>
      <xdr:rowOff>85726</xdr:rowOff>
    </xdr:to>
    <xdr:sp macro="" textlink="'Pivot Report'!O17">
      <xdr:nvSpPr>
        <xdr:cNvPr id="28" name="TextBox 27">
          <a:extLst>
            <a:ext uri="{FF2B5EF4-FFF2-40B4-BE49-F238E27FC236}">
              <a16:creationId xmlns:a16="http://schemas.microsoft.com/office/drawing/2014/main" id="{016CE29B-604F-6E5B-3095-194383C32A18}"/>
            </a:ext>
          </a:extLst>
        </xdr:cNvPr>
        <xdr:cNvSpPr txBox="1"/>
      </xdr:nvSpPr>
      <xdr:spPr>
        <a:xfrm>
          <a:off x="4972050" y="1190624"/>
          <a:ext cx="1571625" cy="22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36000" rtlCol="0" anchor="t"/>
        <a:lstStyle/>
        <a:p>
          <a:r>
            <a:rPr lang="en-IN" sz="1100" b="0" baseline="0"/>
            <a:t>patient satisfactory score</a:t>
          </a:r>
          <a:endParaRPr lang="en-IN" sz="1600" b="0"/>
        </a:p>
      </xdr:txBody>
    </xdr:sp>
    <xdr:clientData/>
  </xdr:twoCellAnchor>
  <xdr:twoCellAnchor editAs="oneCell">
    <xdr:from>
      <xdr:col>3</xdr:col>
      <xdr:colOff>561975</xdr:colOff>
      <xdr:row>4</xdr:row>
      <xdr:rowOff>161926</xdr:rowOff>
    </xdr:from>
    <xdr:to>
      <xdr:col>4</xdr:col>
      <xdr:colOff>219074</xdr:colOff>
      <xdr:row>5</xdr:row>
      <xdr:rowOff>180975</xdr:rowOff>
    </xdr:to>
    <xdr:pic>
      <xdr:nvPicPr>
        <xdr:cNvPr id="32" name="Graphic 31" descr="Male profile with solid fill">
          <a:extLst>
            <a:ext uri="{FF2B5EF4-FFF2-40B4-BE49-F238E27FC236}">
              <a16:creationId xmlns:a16="http://schemas.microsoft.com/office/drawing/2014/main" id="{2EEC13EE-E4A6-5958-B5DC-29BF97BA74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90775" y="923926"/>
          <a:ext cx="266699" cy="209549"/>
        </a:xfrm>
        <a:prstGeom prst="rect">
          <a:avLst/>
        </a:prstGeom>
      </xdr:spPr>
    </xdr:pic>
    <xdr:clientData/>
  </xdr:twoCellAnchor>
  <xdr:twoCellAnchor editAs="oneCell">
    <xdr:from>
      <xdr:col>7</xdr:col>
      <xdr:colOff>66675</xdr:colOff>
      <xdr:row>4</xdr:row>
      <xdr:rowOff>171451</xdr:rowOff>
    </xdr:from>
    <xdr:to>
      <xdr:col>7</xdr:col>
      <xdr:colOff>348616</xdr:colOff>
      <xdr:row>5</xdr:row>
      <xdr:rowOff>182337</xdr:rowOff>
    </xdr:to>
    <xdr:pic>
      <xdr:nvPicPr>
        <xdr:cNvPr id="34" name="Graphic 33" descr="Hourglass Finished with solid fill">
          <a:extLst>
            <a:ext uri="{FF2B5EF4-FFF2-40B4-BE49-F238E27FC236}">
              <a16:creationId xmlns:a16="http://schemas.microsoft.com/office/drawing/2014/main" id="{5C7ED25F-90E5-88C1-A1F1-3FFCB8D6E89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333875" y="933451"/>
          <a:ext cx="281941" cy="201386"/>
        </a:xfrm>
        <a:prstGeom prst="rect">
          <a:avLst/>
        </a:prstGeom>
      </xdr:spPr>
    </xdr:pic>
    <xdr:clientData/>
  </xdr:twoCellAnchor>
  <xdr:twoCellAnchor editAs="oneCell">
    <xdr:from>
      <xdr:col>0</xdr:col>
      <xdr:colOff>153095</xdr:colOff>
      <xdr:row>4</xdr:row>
      <xdr:rowOff>159547</xdr:rowOff>
    </xdr:from>
    <xdr:to>
      <xdr:col>1</xdr:col>
      <xdr:colOff>133350</xdr:colOff>
      <xdr:row>19</xdr:row>
      <xdr:rowOff>180975</xdr:rowOff>
    </xdr:to>
    <mc:AlternateContent xmlns:mc="http://schemas.openxmlformats.org/markup-compatibility/2006">
      <mc:Choice xmlns:a14="http://schemas.microsoft.com/office/drawing/2010/main" Requires="a14">
        <xdr:graphicFrame macro="">
          <xdr:nvGraphicFramePr>
            <xdr:cNvPr id="44" name="Date (Month) 1">
              <a:extLst>
                <a:ext uri="{FF2B5EF4-FFF2-40B4-BE49-F238E27FC236}">
                  <a16:creationId xmlns:a16="http://schemas.microsoft.com/office/drawing/2014/main" id="{547267AF-9724-4142-A552-7F4C92E102C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53095" y="921547"/>
              <a:ext cx="589855" cy="2878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6</xdr:row>
      <xdr:rowOff>38100</xdr:rowOff>
    </xdr:from>
    <xdr:to>
      <xdr:col>4</xdr:col>
      <xdr:colOff>371475</xdr:colOff>
      <xdr:row>9</xdr:row>
      <xdr:rowOff>95250</xdr:rowOff>
    </xdr:to>
    <xdr:graphicFrame macro="">
      <xdr:nvGraphicFramePr>
        <xdr:cNvPr id="29" name="Chart 28">
          <a:hlinkClick xmlns:r="http://schemas.openxmlformats.org/officeDocument/2006/relationships" r:id="rId6"/>
          <a:extLst>
            <a:ext uri="{FF2B5EF4-FFF2-40B4-BE49-F238E27FC236}">
              <a16:creationId xmlns:a16="http://schemas.microsoft.com/office/drawing/2014/main" id="{7B0163E3-BEB2-60DF-64F6-452E6DD82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200026</xdr:colOff>
      <xdr:row>6</xdr:row>
      <xdr:rowOff>66674</xdr:rowOff>
    </xdr:from>
    <xdr:to>
      <xdr:col>7</xdr:col>
      <xdr:colOff>495300</xdr:colOff>
      <xdr:row>9</xdr:row>
      <xdr:rowOff>104775</xdr:rowOff>
    </xdr:to>
    <xdr:graphicFrame macro="">
      <xdr:nvGraphicFramePr>
        <xdr:cNvPr id="31" name="Chart 30">
          <a:hlinkClick xmlns:r="http://schemas.openxmlformats.org/officeDocument/2006/relationships" r:id="rId8"/>
          <a:extLst>
            <a:ext uri="{FF2B5EF4-FFF2-40B4-BE49-F238E27FC236}">
              <a16:creationId xmlns:a16="http://schemas.microsoft.com/office/drawing/2014/main" id="{1987A184-D0C9-4E01-A884-3B7BD354F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10</xdr:col>
      <xdr:colOff>342901</xdr:colOff>
      <xdr:row>4</xdr:row>
      <xdr:rowOff>133350</xdr:rowOff>
    </xdr:from>
    <xdr:to>
      <xdr:col>11</xdr:col>
      <xdr:colOff>38101</xdr:colOff>
      <xdr:row>6</xdr:row>
      <xdr:rowOff>19050</xdr:rowOff>
    </xdr:to>
    <xdr:pic>
      <xdr:nvPicPr>
        <xdr:cNvPr id="37" name="Graphic 36" descr="Customer review with solid fill">
          <a:extLst>
            <a:ext uri="{FF2B5EF4-FFF2-40B4-BE49-F238E27FC236}">
              <a16:creationId xmlns:a16="http://schemas.microsoft.com/office/drawing/2014/main" id="{3BFB10F3-304D-CB18-BC5B-C993AD7B8E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438901" y="895350"/>
          <a:ext cx="304800" cy="266700"/>
        </a:xfrm>
        <a:prstGeom prst="rect">
          <a:avLst/>
        </a:prstGeom>
      </xdr:spPr>
    </xdr:pic>
    <xdr:clientData/>
  </xdr:twoCellAnchor>
  <xdr:twoCellAnchor>
    <xdr:from>
      <xdr:col>7</xdr:col>
      <xdr:colOff>447676</xdr:colOff>
      <xdr:row>7</xdr:row>
      <xdr:rowOff>13739</xdr:rowOff>
    </xdr:from>
    <xdr:to>
      <xdr:col>11</xdr:col>
      <xdr:colOff>47626</xdr:colOff>
      <xdr:row>10</xdr:row>
      <xdr:rowOff>123825</xdr:rowOff>
    </xdr:to>
    <xdr:graphicFrame macro="">
      <xdr:nvGraphicFramePr>
        <xdr:cNvPr id="38" name="Chart 37">
          <a:hlinkClick xmlns:r="http://schemas.openxmlformats.org/officeDocument/2006/relationships" r:id="rId12"/>
          <a:extLst>
            <a:ext uri="{FF2B5EF4-FFF2-40B4-BE49-F238E27FC236}">
              <a16:creationId xmlns:a16="http://schemas.microsoft.com/office/drawing/2014/main" id="{8CF1FAEF-4713-440A-9758-4B76F9820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219075</xdr:colOff>
          <xdr:row>9</xdr:row>
          <xdr:rowOff>9525</xdr:rowOff>
        </xdr:from>
        <xdr:to>
          <xdr:col>11</xdr:col>
          <xdr:colOff>66675</xdr:colOff>
          <xdr:row>12</xdr:row>
          <xdr:rowOff>9525</xdr:rowOff>
        </xdr:to>
        <xdr:pic>
          <xdr:nvPicPr>
            <xdr:cNvPr id="46" name="Picture 45">
              <a:extLst>
                <a:ext uri="{FF2B5EF4-FFF2-40B4-BE49-F238E27FC236}">
                  <a16:creationId xmlns:a16="http://schemas.microsoft.com/office/drawing/2014/main" id="{8D75331D-2222-6933-39A5-40993BEDB031}"/>
                </a:ext>
              </a:extLst>
            </xdr:cNvPr>
            <xdr:cNvPicPr>
              <a:picLocks noChangeAspect="1" noChangeArrowheads="1"/>
              <a:extLst>
                <a:ext uri="{84589F7E-364E-4C9E-8A38-B11213B215E9}">
                  <a14:cameraTool cellRange="'Pivot Report'!$A$19:$D$21" spid="_x0000_s1032"/>
                </a:ext>
              </a:extLst>
            </xdr:cNvPicPr>
          </xdr:nvPicPr>
          <xdr:blipFill>
            <a:blip xmlns:r="http://schemas.openxmlformats.org/officeDocument/2006/relationships" r:embed="rId14"/>
            <a:srcRect/>
            <a:stretch>
              <a:fillRect/>
            </a:stretch>
          </xdr:blipFill>
          <xdr:spPr bwMode="auto">
            <a:xfrm>
              <a:off x="828675" y="1724025"/>
              <a:ext cx="5943600" cy="571500"/>
            </a:xfrm>
            <a:prstGeom prst="roundRect">
              <a:avLst>
                <a:gd name="adj" fmla="val 15001"/>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editAs="absolute">
    <xdr:from>
      <xdr:col>1</xdr:col>
      <xdr:colOff>200719</xdr:colOff>
      <xdr:row>12</xdr:row>
      <xdr:rowOff>76201</xdr:rowOff>
    </xdr:from>
    <xdr:to>
      <xdr:col>11</xdr:col>
      <xdr:colOff>28574</xdr:colOff>
      <xdr:row>18</xdr:row>
      <xdr:rowOff>95251</xdr:rowOff>
    </xdr:to>
    <xdr:graphicFrame macro="">
      <xdr:nvGraphicFramePr>
        <xdr:cNvPr id="48" name="Chart 47">
          <a:extLst>
            <a:ext uri="{FF2B5EF4-FFF2-40B4-BE49-F238E27FC236}">
              <a16:creationId xmlns:a16="http://schemas.microsoft.com/office/drawing/2014/main" id="{3CE48612-01CE-42BB-A356-0935C7731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104775</xdr:colOff>
      <xdr:row>18</xdr:row>
      <xdr:rowOff>85725</xdr:rowOff>
    </xdr:from>
    <xdr:to>
      <xdr:col>7</xdr:col>
      <xdr:colOff>400050</xdr:colOff>
      <xdr:row>20</xdr:row>
      <xdr:rowOff>0</xdr:rowOff>
    </xdr:to>
    <xdr:sp macro="" textlink="">
      <xdr:nvSpPr>
        <xdr:cNvPr id="51" name="TextBox 50">
          <a:extLst>
            <a:ext uri="{FF2B5EF4-FFF2-40B4-BE49-F238E27FC236}">
              <a16:creationId xmlns:a16="http://schemas.microsoft.com/office/drawing/2014/main" id="{E615FAC6-DC94-92D0-712A-D113392659A0}"/>
            </a:ext>
          </a:extLst>
        </xdr:cNvPr>
        <xdr:cNvSpPr txBox="1"/>
      </xdr:nvSpPr>
      <xdr:spPr>
        <a:xfrm>
          <a:off x="2543175" y="3514725"/>
          <a:ext cx="2124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tx1"/>
              </a:solidFill>
            </a:rPr>
            <a:t>Number</a:t>
          </a:r>
          <a:r>
            <a:rPr lang="en-IN" sz="1050" b="1" baseline="0">
              <a:solidFill>
                <a:schemeClr val="tx1"/>
              </a:solidFill>
            </a:rPr>
            <a:t> of patient (Age grouped)</a:t>
          </a:r>
          <a:endParaRPr lang="en-IN" sz="1050" b="1">
            <a:solidFill>
              <a:schemeClr val="tx1"/>
            </a:solidFill>
          </a:endParaRPr>
        </a:p>
      </xdr:txBody>
    </xdr:sp>
    <xdr:clientData/>
  </xdr:twoCellAnchor>
  <xdr:twoCellAnchor>
    <xdr:from>
      <xdr:col>11</xdr:col>
      <xdr:colOff>142897</xdr:colOff>
      <xdr:row>0</xdr:row>
      <xdr:rowOff>66676</xdr:rowOff>
    </xdr:from>
    <xdr:to>
      <xdr:col>14</xdr:col>
      <xdr:colOff>390524</xdr:colOff>
      <xdr:row>8</xdr:row>
      <xdr:rowOff>142875</xdr:rowOff>
    </xdr:to>
    <xdr:graphicFrame macro="">
      <xdr:nvGraphicFramePr>
        <xdr:cNvPr id="52" name="Chart 51">
          <a:extLst>
            <a:ext uri="{FF2B5EF4-FFF2-40B4-BE49-F238E27FC236}">
              <a16:creationId xmlns:a16="http://schemas.microsoft.com/office/drawing/2014/main" id="{5EB54F70-E875-43E7-A310-FEDC8270F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504825</xdr:colOff>
      <xdr:row>7</xdr:row>
      <xdr:rowOff>28575</xdr:rowOff>
    </xdr:from>
    <xdr:to>
      <xdr:col>14</xdr:col>
      <xdr:colOff>419100</xdr:colOff>
      <xdr:row>8</xdr:row>
      <xdr:rowOff>76200</xdr:rowOff>
    </xdr:to>
    <xdr:sp macro="" textlink="">
      <xdr:nvSpPr>
        <xdr:cNvPr id="55" name="TextBox 54">
          <a:extLst>
            <a:ext uri="{FF2B5EF4-FFF2-40B4-BE49-F238E27FC236}">
              <a16:creationId xmlns:a16="http://schemas.microsoft.com/office/drawing/2014/main" id="{E3631323-5E39-8788-63A6-B541544C996A}"/>
            </a:ext>
          </a:extLst>
        </xdr:cNvPr>
        <xdr:cNvSpPr txBox="1"/>
      </xdr:nvSpPr>
      <xdr:spPr>
        <a:xfrm>
          <a:off x="7210425" y="1362075"/>
          <a:ext cx="17430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Patient</a:t>
          </a:r>
          <a:r>
            <a:rPr lang="en-IN" sz="1050" baseline="0"/>
            <a:t> attended Status</a:t>
          </a:r>
          <a:endParaRPr lang="en-IN" sz="1050"/>
        </a:p>
      </xdr:txBody>
    </xdr:sp>
    <xdr:clientData/>
  </xdr:twoCellAnchor>
  <xdr:twoCellAnchor editAs="absolute">
    <xdr:from>
      <xdr:col>15</xdr:col>
      <xdr:colOff>219075</xdr:colOff>
      <xdr:row>0</xdr:row>
      <xdr:rowOff>58911</xdr:rowOff>
    </xdr:from>
    <xdr:to>
      <xdr:col>17</xdr:col>
      <xdr:colOff>495301</xdr:colOff>
      <xdr:row>8</xdr:row>
      <xdr:rowOff>142875</xdr:rowOff>
    </xdr:to>
    <xdr:graphicFrame macro="">
      <xdr:nvGraphicFramePr>
        <xdr:cNvPr id="56" name="Chart 55">
          <a:extLst>
            <a:ext uri="{FF2B5EF4-FFF2-40B4-BE49-F238E27FC236}">
              <a16:creationId xmlns:a16="http://schemas.microsoft.com/office/drawing/2014/main" id="{294DCB88-777D-49B8-B101-3D67BD90D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209550</xdr:colOff>
      <xdr:row>7</xdr:row>
      <xdr:rowOff>9525</xdr:rowOff>
    </xdr:from>
    <xdr:to>
      <xdr:col>18</xdr:col>
      <xdr:colOff>114300</xdr:colOff>
      <xdr:row>8</xdr:row>
      <xdr:rowOff>57150</xdr:rowOff>
    </xdr:to>
    <xdr:sp macro="" textlink="">
      <xdr:nvSpPr>
        <xdr:cNvPr id="57" name="TextBox 56">
          <a:extLst>
            <a:ext uri="{FF2B5EF4-FFF2-40B4-BE49-F238E27FC236}">
              <a16:creationId xmlns:a16="http://schemas.microsoft.com/office/drawing/2014/main" id="{9EFBDE23-EC67-C006-B81A-CFCD2CCFE09C}"/>
            </a:ext>
          </a:extLst>
        </xdr:cNvPr>
        <xdr:cNvSpPr txBox="1"/>
      </xdr:nvSpPr>
      <xdr:spPr>
        <a:xfrm>
          <a:off x="9353550" y="1343025"/>
          <a:ext cx="17335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a:t>
          </a:r>
          <a:r>
            <a:rPr lang="en-IN" sz="1100" baseline="0"/>
            <a:t> wise Analysis</a:t>
          </a:r>
          <a:endParaRPr lang="en-IN" sz="1100"/>
        </a:p>
      </xdr:txBody>
    </xdr:sp>
    <xdr:clientData/>
  </xdr:twoCellAnchor>
  <xdr:twoCellAnchor>
    <xdr:from>
      <xdr:col>11</xdr:col>
      <xdr:colOff>130752</xdr:colOff>
      <xdr:row>9</xdr:row>
      <xdr:rowOff>830</xdr:rowOff>
    </xdr:from>
    <xdr:to>
      <xdr:col>17</xdr:col>
      <xdr:colOff>533400</xdr:colOff>
      <xdr:row>19</xdr:row>
      <xdr:rowOff>161925</xdr:rowOff>
    </xdr:to>
    <xdr:graphicFrame macro="">
      <xdr:nvGraphicFramePr>
        <xdr:cNvPr id="58" name="Chart 57">
          <a:extLst>
            <a:ext uri="{FF2B5EF4-FFF2-40B4-BE49-F238E27FC236}">
              <a16:creationId xmlns:a16="http://schemas.microsoft.com/office/drawing/2014/main" id="{5FC058E7-2B65-4A19-BA0C-56CE875AC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180975</xdr:colOff>
      <xdr:row>18</xdr:row>
      <xdr:rowOff>38100</xdr:rowOff>
    </xdr:from>
    <xdr:to>
      <xdr:col>17</xdr:col>
      <xdr:colOff>38100</xdr:colOff>
      <xdr:row>19</xdr:row>
      <xdr:rowOff>57150</xdr:rowOff>
    </xdr:to>
    <xdr:sp macro="" textlink="">
      <xdr:nvSpPr>
        <xdr:cNvPr id="59" name="TextBox 58">
          <a:extLst>
            <a:ext uri="{FF2B5EF4-FFF2-40B4-BE49-F238E27FC236}">
              <a16:creationId xmlns:a16="http://schemas.microsoft.com/office/drawing/2014/main" id="{40B3F370-B9E7-599A-0E48-6AFF4EEC7EA2}"/>
            </a:ext>
          </a:extLst>
        </xdr:cNvPr>
        <xdr:cNvSpPr txBox="1"/>
      </xdr:nvSpPr>
      <xdr:spPr>
        <a:xfrm>
          <a:off x="7496175" y="3467100"/>
          <a:ext cx="2905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Number of patient by departmental refferal </a:t>
          </a:r>
        </a:p>
        <a:p>
          <a:endParaRPr lang="en-IN" sz="1200"/>
        </a:p>
      </xdr:txBody>
    </xdr:sp>
    <xdr:clientData/>
  </xdr:twoCellAnchor>
  <xdr:twoCellAnchor editAs="oneCell">
    <xdr:from>
      <xdr:col>8</xdr:col>
      <xdr:colOff>95248</xdr:colOff>
      <xdr:row>1</xdr:row>
      <xdr:rowOff>78580</xdr:rowOff>
    </xdr:from>
    <xdr:to>
      <xdr:col>11</xdr:col>
      <xdr:colOff>0</xdr:colOff>
      <xdr:row>3</xdr:row>
      <xdr:rowOff>133349</xdr:rowOff>
    </xdr:to>
    <mc:AlternateContent xmlns:mc="http://schemas.openxmlformats.org/markup-compatibility/2006">
      <mc:Choice xmlns:a14="http://schemas.microsoft.com/office/drawing/2010/main" Requires="a14">
        <xdr:graphicFrame macro="">
          <xdr:nvGraphicFramePr>
            <xdr:cNvPr id="60" name="Date (Year) 1">
              <a:extLst>
                <a:ext uri="{FF2B5EF4-FFF2-40B4-BE49-F238E27FC236}">
                  <a16:creationId xmlns:a16="http://schemas.microsoft.com/office/drawing/2014/main" id="{DBB8D346-5340-4A3B-AB94-59345FD62E5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4972048" y="269080"/>
              <a:ext cx="1733552" cy="435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15</xdr:col>
      <xdr:colOff>9525</xdr:colOff>
      <xdr:row>16</xdr:row>
      <xdr:rowOff>9525</xdr:rowOff>
    </xdr:to>
    <xdr:graphicFrame macro="">
      <xdr:nvGraphicFramePr>
        <xdr:cNvPr id="2" name="Chart 1">
          <a:extLst>
            <a:ext uri="{FF2B5EF4-FFF2-40B4-BE49-F238E27FC236}">
              <a16:creationId xmlns:a16="http://schemas.microsoft.com/office/drawing/2014/main" id="{09EB8956-FB80-47CA-8190-149334B8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0.04071</cdr:x>
      <cdr:y>0.08411</cdr:y>
    </cdr:to>
    <cdr:pic>
      <cdr:nvPicPr>
        <cdr:cNvPr id="3" name="Graphic 2" descr="Cursor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72C827A-8FC2-8CC6-45AE-016F401054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72227" cy="25717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590550</xdr:colOff>
      <xdr:row>14</xdr:row>
      <xdr:rowOff>76200</xdr:rowOff>
    </xdr:to>
    <xdr:graphicFrame macro="">
      <xdr:nvGraphicFramePr>
        <xdr:cNvPr id="2" name="Chart 1">
          <a:extLst>
            <a:ext uri="{FF2B5EF4-FFF2-40B4-BE49-F238E27FC236}">
              <a16:creationId xmlns:a16="http://schemas.microsoft.com/office/drawing/2014/main" id="{A5D7BB68-6F57-4790-BC48-0A3EB29AC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0.00557</cdr:x>
      <cdr:y>0.01852</cdr:y>
    </cdr:from>
    <cdr:to>
      <cdr:x>0.04636</cdr:x>
      <cdr:y>0.11227</cdr:y>
    </cdr:to>
    <cdr:pic>
      <cdr:nvPicPr>
        <cdr:cNvPr id="2" name="Graphic 1" descr="Cursor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49B18A9-6205-83A1-9B3B-7D3D173AD5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72227" cy="25717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581025</xdr:colOff>
      <xdr:row>13</xdr:row>
      <xdr:rowOff>180975</xdr:rowOff>
    </xdr:to>
    <xdr:graphicFrame macro="">
      <xdr:nvGraphicFramePr>
        <xdr:cNvPr id="2" name="Chart 1">
          <a:extLst>
            <a:ext uri="{FF2B5EF4-FFF2-40B4-BE49-F238E27FC236}">
              <a16:creationId xmlns:a16="http://schemas.microsoft.com/office/drawing/2014/main" id="{F0D434F5-BCC3-4D3A-BC5B-8B569BF8F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0.00557</cdr:x>
      <cdr:y>0.01912</cdr:y>
    </cdr:from>
    <cdr:to>
      <cdr:x>0.04641</cdr:x>
      <cdr:y>0.11589</cdr:y>
    </cdr:to>
    <cdr:pic>
      <cdr:nvPicPr>
        <cdr:cNvPr id="2" name="Graphic 1" descr="Cursor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9BDA57F-6385-78EB-57F8-15F59CF8F34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72207" cy="25717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76851852" createdVersion="5" refreshedVersion="8" minRefreshableVersion="3" recordCount="0" supportSubquery="1" supportAdvancedDrill="1" xr:uid="{074143B5-7748-466E-9F17-0F901920162A}">
  <cacheSource type="external" connectionId="3"/>
  <cacheFields count="2">
    <cacheField name="[Calender_querry].[Date (Month)].[Date (Month)]" caption="Date (Month)" numFmtId="0" hierarchy="1" level="1">
      <sharedItems containsSemiMixedTypes="0" containsNonDate="0" containsString="0"/>
    </cacheField>
    <cacheField name="[Calender_querry].[Date (Year)].[Date (Year)]" caption="Date (Year)" numFmtId="0" hierarchy="3" level="1">
      <sharedItems count="1">
        <s v="2023"/>
      </sharedItems>
    </cacheField>
  </cacheFields>
  <cacheHierarchies count="35">
    <cacheHierarchy uniqueName="[Calender_querry].[Date]" caption="Date" attribute="1" time="1" defaultMemberUniqueName="[Calender_querry].[Date].[All]" allUniqueName="[Calender_querry].[Date].[All]" dimensionUniqueName="[Calender_querry]" displayFolder="" count="2"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2"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1"/>
      </fieldsUsage>
    </cacheHierarchy>
    <cacheHierarchy uniqueName="[Calender_querry].[Date (Quarter)]" caption="Date (Quarter)" attribute="1" defaultMemberUniqueName="[Calender_querry].[Date (Quarter)].[All]" allUniqueName="[Calender_querry].[Date (Quarter)].[All]" dimensionUniqueName="[Calender_querry]"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2"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2"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80902777" createdVersion="5" refreshedVersion="8" minRefreshableVersion="3" recordCount="0" supportSubquery="1" supportAdvancedDrill="1" xr:uid="{F598445C-7622-4249-BE7C-A4F9038B9F61}">
  <cacheSource type="external" connectionId="3"/>
  <cacheFields count="3">
    <cacheField name="[Measures].[Distinct Count of Patient Id]" caption="Distinct Count of Patient Id" numFmtId="0" hierarchy="24" level="32767"/>
    <cacheField name="[Calender_querry].[Date (Month)].[Date (Month)]" caption="Date (Month)" numFmtId="0" hierarchy="1" level="1">
      <sharedItems containsSemiMixedTypes="0" containsNonDate="0" containsString="0"/>
    </cacheField>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1"/>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2"/>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82523148" createdVersion="5" refreshedVersion="8" minRefreshableVersion="3" recordCount="0" supportSubquery="1" supportAdvancedDrill="1" xr:uid="{7864309E-1500-4CF6-932F-17E95798C6DB}">
  <cacheSource type="external" connectionId="3"/>
  <cacheFields count="4">
    <cacheField name="[Calender_querry].[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0277776" createdVersion="5" refreshedVersion="8" minRefreshableVersion="3" recordCount="0" supportSubquery="1" supportAdvancedDrill="1" xr:uid="{C356F696-05E8-4B52-B031-D185C2741931}">
  <cacheSource type="external" connectionId="3"/>
  <cacheFields count="4">
    <cacheField name="[Calender_querry].[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1550923" createdVersion="5" refreshedVersion="8" minRefreshableVersion="3" recordCount="0" supportSubquery="1" supportAdvancedDrill="1" xr:uid="{458EB052-090B-460A-853C-A68B9E8DEBF2}">
  <cacheSource type="external" connectionId="3"/>
  <cacheFields count="3">
    <cacheField name="[Measures].[Average of Patient Waittime]" caption="Average of Patient Waittime" numFmtId="0" hierarchy="26" level="32767"/>
    <cacheField name="[Calender_querry].[Date (Month)].[Date (Month)]" caption="Date (Month)" numFmtId="0" hierarchy="1" level="1">
      <sharedItems containsSemiMixedTypes="0" containsNonDate="0" containsString="0"/>
    </cacheField>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1"/>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2"/>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3171293" createdVersion="5" refreshedVersion="8" minRefreshableVersion="3" recordCount="0" supportSubquery="1" supportAdvancedDrill="1" xr:uid="{98D6F947-6F9E-40EA-BB5B-8C52F0EBF3ED}">
  <cacheSource type="external" connectionId="3"/>
  <cacheFields count="3">
    <cacheField name="[Measures].[Average of Patient Satisfaction Score]" caption="Average of Patient Satisfaction Score" numFmtId="0" hierarchy="28" level="32767"/>
    <cacheField name="[Calender_querry].[Date (Month)].[Date (Month)]" caption="Date (Month)" numFmtId="0" hierarchy="1" level="1">
      <sharedItems containsSemiMixedTypes="0" containsNonDate="0" containsString="0"/>
    </cacheField>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1"/>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2"/>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4444448" createdVersion="5" refreshedVersion="8" minRefreshableVersion="3" recordCount="0" supportSubquery="1" supportAdvancedDrill="1" xr:uid="{F8CF41AA-2BA8-448B-A4E9-655A62A114A1}">
  <cacheSource type="external" connectionId="3"/>
  <cacheFields count="4">
    <cacheField name="[Measures].[Count of Patient Id]" caption="Count of Patient Id" numFmtId="0" hierarchy="23" level="32767"/>
    <cacheField name="[Calender_querry].[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querry].[Date (Month)].[Date (Month)]" caption="Date (Month)" numFmtId="0" hierarchy="1" level="1">
      <sharedItems containsSemiMixedTypes="0" containsNonDate="0" containsString="0"/>
    </cacheField>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2"/>
      </fieldsUsage>
    </cacheHierarchy>
    <cacheHierarchy uniqueName="[Calender_querry].[Date (Day)]" caption="Date (Day)" attribute="1" defaultMemberUniqueName="[Calender_querry].[Date (Day)].[All]" allUniqueName="[Calender_querry].[Date (Day)].[All]" dimensionUniqueName="[Calender_querry]" displayFolder="" count="2" memberValueDatatype="130" unbalanced="0">
      <fieldsUsage count="2">
        <fieldUsage x="-1"/>
        <fieldUsage x="1"/>
      </fieldsUsage>
    </cacheHierarchy>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5949072" createdVersion="5" refreshedVersion="8" minRefreshableVersion="3" recordCount="0" supportSubquery="1" supportAdvancedDrill="1" xr:uid="{A3AF57A2-8C37-4534-B16D-FE5531353FDE}">
  <cacheSource type="external" connectionId="3"/>
  <cacheFields count="4">
    <cacheField name="[Calender_querry].[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1-May" u="1"/>
      </sharedItems>
    </cacheField>
    <cacheField name="[Calender_querry].[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1"/>
      </fieldsUsage>
    </cacheHierarchy>
    <cacheHierarchy uniqueName="[Calender_querry].[Date (Day)]" caption="Date (Day)" attribute="1" defaultMemberUniqueName="[Calender_querry].[Date (Day)].[All]" allUniqueName="[Calender_querry].[Date (Day)].[All]" dimensionUniqueName="[Calender_querry]" displayFolder="" count="2" memberValueDatatype="130" unbalanced="0">
      <fieldsUsage count="2">
        <fieldUsage x="-1"/>
        <fieldUsage x="0"/>
      </fieldsUsage>
    </cacheHierarchy>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7337965" createdVersion="5" refreshedVersion="8" minRefreshableVersion="3" recordCount="0" supportSubquery="1" supportAdvancedDrill="1" xr:uid="{C71AD15A-5E22-42AC-886B-1759B4FF0210}">
  <cacheSource type="external" connectionId="3"/>
  <cacheFields count="4">
    <cacheField name="[Calender_querry].[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querry].[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1"/>
      </fieldsUsage>
    </cacheHierarchy>
    <cacheHierarchy uniqueName="[Calender_querry].[Date (Day)]" caption="Date (Day)" attribute="1" defaultMemberUniqueName="[Calender_querry].[Date (Day)].[All]" allUniqueName="[Calender_querry].[Date (Day)].[All]" dimensionUniqueName="[Calender_querry]" displayFolder="" count="2" memberValueDatatype="130" unbalanced="0">
      <fieldsUsage count="2">
        <fieldUsage x="-1"/>
        <fieldUsage x="0"/>
      </fieldsUsage>
    </cacheHierarchy>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099074074" createdVersion="5" refreshedVersion="8" minRefreshableVersion="3" recordCount="0" supportSubquery="1" supportAdvancedDrill="1" xr:uid="{DA8E23B6-0E32-45F4-BB4D-801273960963}">
  <cacheSource type="external" connectionId="3"/>
  <cacheFields count="5">
    <cacheField name="[Calender_querry].[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querry].[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102546299" createdVersion="5" refreshedVersion="8" minRefreshableVersion="3" recordCount="0" supportSubquery="1" supportAdvancedDrill="1" xr:uid="{18B200AB-DF20-454D-BA5F-5AC2A1378534}">
  <cacheSource type="external" connectionId="3"/>
  <cacheFields count="4">
    <cacheField name="[Calender_querry].[Date (Month)].[Date (Month)]" caption="Date (Month)" numFmtId="0" hierarchy="1" level="1">
      <sharedItems containsSemiMixedTypes="0" containsNonDate="0" containsString="0"/>
    </cacheField>
    <cacheField name="[Hospital Emergency Room Data].[Age Group].[Age Group]" caption="Age Group" numFmtId="0" hierarchy="16" level="1">
      <sharedItems count="8">
        <s v="0- 09"/>
        <s v="10-19"/>
        <s v="20-29"/>
        <s v="30-39"/>
        <s v="40-49"/>
        <s v="50-59"/>
        <s v="60-69"/>
        <s v="70-79"/>
      </sharedItems>
    </cacheField>
    <cacheField name="[Measures].[Count of Age Group]" caption="Count of Age Group" numFmtId="0" hierarchy="31"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877104282408" createdVersion="5" refreshedVersion="8" minRefreshableVersion="3" recordCount="0" supportSubquery="1" supportAdvancedDrill="1" xr:uid="{3AAF66EC-7F84-4E5D-9F2C-853B20193DE1}">
  <cacheSource type="external" connectionId="3"/>
  <cacheFields count="4">
    <cacheField name="[Calender_querry].[Date (Month)].[Date (Month)]" caption="Date (Month)" numFmtId="0" hierarchy="1" level="1">
      <sharedItems containsSemiMixedTypes="0" containsNonDate="0" containsString="0"/>
    </cacheField>
    <cacheField name="[Hospital Emergency Room Data].[Patient Attending Status].[Patient Attending Status]" caption="Patient Attending Status" numFmtId="0" hierarchy="17" level="1">
      <sharedItems count="2">
        <s v="Delayed treatment"/>
        <s v="On time treatment"/>
      </sharedItems>
    </cacheField>
    <cacheField name="[Measures].[Count of Patient Attending Status]" caption="Count of Patient Attending Status" numFmtId="0" hierarchy="32" level="32767"/>
    <cacheField name="[Calender_querry].[Date (Year)].[Date (Year)]" caption="Date (Year)" numFmtId="0" hierarchy="3" level="1">
      <sharedItems containsSemiMixedTypes="0" containsNonDate="0" containsString="0"/>
    </cacheField>
  </cacheFields>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fieldsUsage count="2">
        <fieldUsage x="-1"/>
        <fieldUsage x="0"/>
      </fieldsUsage>
    </cacheHierarchy>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fieldsUsage count="2">
        <fieldUsage x="-1"/>
        <fieldUsage x="3"/>
      </fieldsUsage>
    </cacheHierarchy>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2" memberValueDatatype="130" unbalanced="0">
      <fieldsUsage count="2">
        <fieldUsage x="-1"/>
        <fieldUsage x="1"/>
      </fieldsUsage>
    </cacheHierarchy>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querry" uniqueName="[Calender_querry]" caption="Calender_querry"/>
    <dimension name="Hospital Emergency Room Data" uniqueName="[Hospital Emergency Room Data]" caption="Hospital Emergency Room Data"/>
    <dimension measure="1" name="Measures" uniqueName="[Measures]" caption="Measures"/>
  </dimensions>
  <measureGroups count="2">
    <measureGroup name="Calender_querry" caption="Calender_quer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lcome" refreshedDate="46125.53162037037" createdVersion="3" refreshedVersion="8" minRefreshableVersion="3" recordCount="0" supportSubquery="1" supportAdvancedDrill="1" xr:uid="{058E1BF3-FA0E-4268-9C8C-C0A9246EB78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querry].[Date]" caption="Date" attribute="1" time="1" defaultMemberUniqueName="[Calender_querry].[Date].[All]" allUniqueName="[Calender_querry].[Date].[All]" dimensionUniqueName="[Calender_querry]" displayFolder="" count="0" memberValueDatatype="7" unbalanced="0"/>
    <cacheHierarchy uniqueName="[Calender_querry].[Date (Month)]" caption="Date (Month)" attribute="1" defaultMemberUniqueName="[Calender_querry].[Date (Month)].[All]" allUniqueName="[Calender_querry].[Date (Month)].[All]" dimensionUniqueName="[Calender_querry]" displayFolder="" count="2" memberValueDatatype="130" unbalanced="0"/>
    <cacheHierarchy uniqueName="[Calender_querry].[Date (Day)]" caption="Date (Day)" attribute="1" defaultMemberUniqueName="[Calender_querry].[Date (Day)].[All]" allUniqueName="[Calender_querry].[Date (Day)].[All]" dimensionUniqueName="[Calender_querry]" displayFolder="" count="0" memberValueDatatype="130" unbalanced="0"/>
    <cacheHierarchy uniqueName="[Calender_querry].[Date (Year)]" caption="Date (Year)" attribute="1" defaultMemberUniqueName="[Calender_querry].[Date (Year)].[All]" allUniqueName="[Calender_querry].[Date (Year)].[All]" dimensionUniqueName="[Calender_querry]" displayFolder="" count="2" memberValueDatatype="130" unbalanced="0"/>
    <cacheHierarchy uniqueName="[Calender_querry].[Date (Quarter)]" caption="Date (Quarter)" attribute="1" defaultMemberUniqueName="[Calender_querry].[Date (Quarter)].[All]" allUniqueName="[Calender_querry].[Date (Quarter)].[All]" dimensionUniqueName="[Calender_quer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ing Status]" caption="Patient Attending Status" attribute="1" defaultMemberUniqueName="[Hospital Emergency Room Data].[Patient Attending Status].[All]" allUniqueName="[Hospital Emergency Room Data].[Patient Attending Status].[All]" dimensionUniqueName="[Hospital Emergency Room Data]" displayFolder="" count="0" memberValueDatatype="130" unbalanced="0"/>
    <cacheHierarchy uniqueName="[Calender_querry].[Date (Day Index)]" caption="Date (Day Index)" attribute="1" defaultMemberUniqueName="[Calender_querry].[Date (Day Index)].[All]" allUniqueName="[Calender_querry].[Date (Day Index)].[All]" dimensionUniqueName="[Calender_querry]" displayFolder="" count="0" memberValueDatatype="5" unbalanced="0" hidden="1"/>
    <cacheHierarchy uniqueName="[Calender_querry].[Date (Month Index)]" caption="Date (Month Index)" attribute="1" defaultMemberUniqueName="[Calender_querry].[Date (Month Index)].[All]" allUniqueName="[Calender_querry].[Date (Month Index)].[All]" dimensionUniqueName="[Calender_quer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querry]" caption="__XL_Count Calender_querry" measure="1" displayFolder="" measureGroup="Calender_quer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querry"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ing Status]" caption="Count of Patient Attending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784968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A0661-E47B-41DD-81F0-C3F5BC40CB92}" name="PivotTable12" cacheId="1223" applyNumberFormats="0" applyBorderFormats="0" applyFontFormats="0" applyPatternFormats="0" applyAlignmentFormats="0" applyWidthHeightFormats="1" dataCaption="Values" tag="312b15c7-49ff-4e61-8556-643a11e4dd55" updatedVersion="8" minRefreshableVersion="3" preserveFormatting="0" useAutoFormatting="1" subtotalHiddenItems="1" itemPrintTitles="1" createdVersion="5" indent="0" outline="1" outlineData="1" multipleFieldFilters="0" chartFormat="23">
  <location ref="D39:D41"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CCF6E1-E3C2-4BE9-8521-6076DDE295FF}" name="PivotTable11" cacheId="1232" applyNumberFormats="0" applyBorderFormats="0" applyFontFormats="0" applyPatternFormats="0" applyAlignmentFormats="0" applyWidthHeightFormats="1" dataCaption="Values" tag="97a642e2-264c-48ab-96c9-bf11003de1ca" updatedVersion="8" minRefreshableVersion="3" preserveFormatting="0" useAutoFormatting="1" subtotalHiddenItems="1" itemPrintTitles="1" createdVersion="5" indent="0" outline="1" outlineData="1" multipleFieldFilters="0" chartFormat="33">
  <location ref="A45:B5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1"/>
    </i>
    <i>
      <x v="3"/>
    </i>
    <i>
      <x v="7"/>
    </i>
    <i t="grand">
      <x/>
    </i>
  </rowItems>
  <colItems count="1">
    <i/>
  </colItems>
  <dataFields count="1">
    <dataField name="Count of Department Referral" fld="2"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2634A6-20BB-433D-8CE3-719058A16CD1}" name="PivotTable10" cacheId="1229" applyNumberFormats="0" applyBorderFormats="0" applyFontFormats="0" applyPatternFormats="0" applyAlignmentFormats="0" applyWidthHeightFormats="1" dataCaption="Values" tag="811f7223-a2ff-4bab-b9c7-1cf61ab22c84" updatedVersion="8" minRefreshableVersion="3" preserveFormatting="0" useAutoFormatting="1" itemPrintTitles="1" createdVersion="5" indent="0" outline="1" outlineData="1" multipleFieldFilters="0" chartFormat="23">
  <location ref="A40:B4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 count="1" selected="0">
            <x v="0"/>
          </reference>
        </references>
      </pivotArea>
    </chartFormat>
    <chartFormat chart="22" format="7">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7339C4-DC1C-466F-87C9-CB5007163EBC}" name="PivotTable9" cacheId="1256" applyNumberFormats="0" applyBorderFormats="0" applyFontFormats="0" applyPatternFormats="0" applyAlignmentFormats="0" applyWidthHeightFormats="1" dataCaption="Values" tag="25a1ed66-a450-41e0-b141-e7723342b85b" updatedVersion="8" minRefreshableVersion="3" preserveFormatting="0" useAutoFormatting="1" itemPrintTitles="1" createdVersion="5" indent="0" outline="1" outlineData="1" multipleFieldFilters="0" chartFormat="19">
  <location ref="A35: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ing Status" fld="2" subtotal="count" baseField="0" baseItem="0"/>
  </dataField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8F5F2B-D3DC-4EAA-8AC3-F229941D3B82}" name="PivotTable8" cacheId="1253" applyNumberFormats="0" applyBorderFormats="0" applyFontFormats="0" applyPatternFormats="0" applyAlignmentFormats="0" applyWidthHeightFormats="1" dataCaption="Values" tag="8e15bf33-ea72-4170-84c7-5ca455c7a03e" updatedVersion="8" minRefreshableVersion="3" preserveFormatting="0" useAutoFormatting="1" itemPrintTitles="1" createdVersion="5" indent="0" outline="1" outlineData="1" multipleFieldFilters="0" chartFormat="15">
  <location ref="A24:B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C3B2F0-D471-470D-82F0-B6F1DD47B2D6}" name="PivotTable7" cacheId="1250" applyNumberFormats="0" applyBorderFormats="0" applyFontFormats="0" applyPatternFormats="0" applyAlignmentFormats="0" applyWidthHeightFormats="1" dataCaption="Values" tag="f61600a0-70c4-4ac6-93a7-0f4f2886ad5d" updatedVersion="8" minRefreshableVersion="3" preserveFormatting="0" useAutoFormatting="1" itemPrintTitles="1" createdVersion="5" indent="0" outline="1" outlineData="1" multipleFieldFilters="0" chartFormat="8">
  <location ref="A14:C1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DAAF9-ECA7-4387-91E6-DA6179C2B00F}" name="PivotTable6" cacheId="1247" applyNumberFormats="0" applyBorderFormats="0" applyFontFormats="0" applyPatternFormats="0" applyAlignmentFormats="0" applyWidthHeightFormats="1" dataCaption="Values" tag="e79c11b1-0958-4a92-9b16-1c64c572bcdc" updatedVersion="8" minRefreshableVersion="3" useAutoFormatting="1" subtotalHiddenItems="1" itemPrintTitles="1" createdVersion="5" indent="0" outline="1" outlineData="1" multipleFieldFilters="0" chartFormat="26">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169"/>
  </dataFields>
  <formats count="1">
    <format dxfId="47">
      <pivotArea outline="0" collapsedLevelsAreSubtotals="1" fieldPosition="0"/>
    </format>
  </formats>
  <chartFormats count="2">
    <chartFormat chart="22" format="3"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A4EE85-FB92-4039-B520-55E01C1C7223}" name="PivotTable5" cacheId="1244" applyNumberFormats="0" applyBorderFormats="0" applyFontFormats="0" applyPatternFormats="0" applyAlignmentFormats="0" applyWidthHeightFormats="1" dataCaption="Values" tag="2cf13da8-0035-437e-801b-15b3345ca661" updatedVersion="8" minRefreshableVersion="3" showDrill="0" useAutoFormatting="1" subtotalHiddenItems="1" itemPrintTitles="1" createdVersion="5" indent="0" outline="1" outlineData="1" multipleFieldFilters="0" chartFormat="26">
  <location ref="I4: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2">
    <format dxfId="49">
      <pivotArea collapsedLevelsAreSubtotals="1" fieldPosition="0">
        <references count="1">
          <reference field="0" count="1">
            <x v="30"/>
          </reference>
        </references>
      </pivotArea>
    </format>
    <format dxfId="48">
      <pivotArea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5855D0-2E40-42E0-8518-9B683F846F2C}" name="PivotTable1" cacheId="1226" applyNumberFormats="0" applyBorderFormats="0" applyFontFormats="0" applyPatternFormats="0" applyAlignmentFormats="0" applyWidthHeightFormats="1" dataCaption="Values" tag="a183b027-c779-4c80-a8c6-8c80bfd28c89" updatedVersion="8" minRefreshableVersion="3" useAutoFormatting="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6FB5D9-0800-4BBE-BD23-D3D415592DF5}" name="PivotTable4" cacheId="1241" applyNumberFormats="0" applyBorderFormats="0" applyFontFormats="0" applyPatternFormats="0" applyAlignmentFormats="0" applyWidthHeightFormats="1" dataCaption="Values" tag="aa7d5f49-6a6a-4e88-b2f8-f642058e33a6" updatedVersion="8" minRefreshableVersion="3" useAutoFormatting="1" subtotalHiddenItems="1" itemPrintTitles="1" createdVersion="5" indent="0" outline="1" outlineData="1" multipleFieldFilters="0" chartFormat="16">
  <location ref="F4:G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5585D8-0072-4B4C-AEAB-815C65812B63}" name="PivotTable3" cacheId="1238" applyNumberFormats="0" applyBorderFormats="0" applyFontFormats="0" applyPatternFormats="0" applyAlignmentFormats="0" applyWidthHeightFormats="1" dataCaption="Values" tag="93eecf4e-c38e-413c-90ce-c458cd31f1ff" updatedVersion="8" minRefreshableVersion="3" useAutoFormatting="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3">
      <pivotArea outline="0" collapsedLevelsAreSubtotals="1" fieldPosition="0"/>
    </format>
  </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quer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92F6DC-C6D7-4045-9E7B-C8D64CE93261}" name="PivotTable2" cacheId="1235" applyNumberFormats="0" applyBorderFormats="0" applyFontFormats="0" applyPatternFormats="0" applyAlignmentFormats="0" applyWidthHeightFormats="1" dataCaption="Values" tag="1d4806c0-094e-4294-b76d-2f7f16e42c30" updatedVersion="8" minRefreshableVersion="3" useAutoFormatting="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4">
      <pivotArea outline="0" collapsedLevelsAreSubtotals="1" fieldPosition="0"/>
    </format>
  </formats>
  <pivotHierarchies count="35">
    <pivotHierarchy dragToData="1"/>
    <pivotHierarchy multipleItemSelectionAllowed="1" dragToData="1">
      <members count="1" level="1">
        <member name="[Calender_querry].[Date (Month)].&amp;[Sep]"/>
      </members>
    </pivotHierarchy>
    <pivotHierarchy dragToData="1"/>
    <pivotHierarchy multipleItemSelectionAllowed="1" dragToData="1">
      <members count="1" level="1">
        <member name="[Calender_querry].[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CE165BF-0463-42E7-988E-E4711B957B34}" sourceName="[Calender_querry].[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78496882">
      <levels count="2">
        <level uniqueName="[Calender_querry].[Date (Month)].[(All)]" sourceCaption="(All)" count="0"/>
        <level uniqueName="[Calender_querry].[Date (Month)].[Date (Month)]" sourceCaption="Date (Month)" count="12">
          <ranges>
            <range startItem="0">
              <i n="[Calender_querry].[Date (Month)].&amp;[Apr]" c="Apr"/>
              <i n="[Calender_querry].[Date (Month)].&amp;[May]" c="May"/>
              <i n="[Calender_querry].[Date (Month)].&amp;[Jun]" c="Jun"/>
              <i n="[Calender_querry].[Date (Month)].&amp;[Jul]" c="Jul"/>
              <i n="[Calender_querry].[Date (Month)].&amp;[Aug]" c="Aug"/>
              <i n="[Calender_querry].[Date (Month)].&amp;[Sep]" c="Sep"/>
              <i n="[Calender_querry].[Date (Month)].&amp;[Oct]" c="Oct"/>
              <i n="[Calender_querry].[Date (Month)].&amp;[Nov]" c="Nov"/>
              <i n="[Calender_querry].[Date (Month)].&amp;[Dec]" c="Dec"/>
              <i n="[Calender_querry].[Date (Month)].&amp;[Jan]" c="Jan" nd="1"/>
              <i n="[Calender_querry].[Date (Month)].&amp;[Feb]" c="Feb" nd="1"/>
              <i n="[Calender_querry].[Date (Month)].&amp;[Mar]" c="Mar" nd="1"/>
            </range>
          </ranges>
        </level>
      </levels>
      <selections count="1">
        <selection n="[Calender_querry].[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0668C45-75C7-4B11-BDBE-F69108F07710}" sourceName="[Calender_querry].[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78496882">
      <levels count="2">
        <level uniqueName="[Calender_querry].[Date (Year)].[(All)]" sourceCaption="(All)" count="0"/>
        <level uniqueName="[Calender_querry].[Date (Year)].[Date (Year)]" sourceCaption="Date (Year)" count="2">
          <ranges>
            <range startItem="0">
              <i n="[Calender_querry].[Date (Year)].&amp;[2023]" c="2023"/>
              <i n="[Calender_querry].[Date (Year)].&amp;[2024]" c="2024"/>
            </range>
          </ranges>
        </level>
      </levels>
      <selections count="1">
        <selection n="[Calender_querry].[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460310F4-DA33-4E3B-A60C-F189DFF759A1}" cache="Slicer_Date__Year" caption="Date (Year)"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79F22AB-359C-4299-9519-0D6E46225FD6}" cache="Slicer_Date__Month" caption="Date (Month)" showCaption="0" level="1" style="aa" rowHeight="201600"/>
  <slicer name="Date (Year) 1" xr10:uid="{B15B3512-606C-4A2F-92C4-A063FB78AC1C}" cache="Slicer_Date__Year" caption="Date (Year)" columnCount="2" showCaption="0" level="1" style="aa"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1BF4-869B-4B97-B93D-C73F7F8F5FC2}">
  <dimension ref="A3:M54"/>
  <sheetViews>
    <sheetView topLeftCell="C22" workbookViewId="0">
      <selection activeCell="D39" sqref="D39"/>
    </sheetView>
  </sheetViews>
  <sheetFormatPr defaultRowHeight="15" x14ac:dyDescent="0.25"/>
  <cols>
    <col min="1" max="1" width="18" bestFit="1" customWidth="1"/>
    <col min="2" max="2" width="31.28515625" bestFit="1" customWidth="1"/>
    <col min="3" max="3" width="30.85546875" bestFit="1" customWidth="1"/>
    <col min="4" max="4" width="13.140625" bestFit="1" customWidth="1"/>
    <col min="5" max="5" width="17.85546875" bestFit="1" customWidth="1"/>
    <col min="6" max="6" width="13.140625" bestFit="1" customWidth="1"/>
    <col min="7" max="7" width="17.85546875" bestFit="1" customWidth="1"/>
    <col min="8" max="8" width="10.42578125" bestFit="1" customWidth="1"/>
    <col min="9" max="9" width="13.140625" bestFit="1" customWidth="1"/>
    <col min="10" max="10" width="26.85546875" bestFit="1" customWidth="1"/>
    <col min="11" max="11" width="10.42578125" bestFit="1" customWidth="1"/>
    <col min="12" max="12" width="13.140625" bestFit="1" customWidth="1"/>
    <col min="13" max="13" width="34.28515625" bestFit="1" customWidth="1"/>
    <col min="14" max="737" width="10.42578125" bestFit="1" customWidth="1"/>
    <col min="738" max="738" width="11.28515625" bestFit="1" customWidth="1"/>
    <col min="739" max="2929" width="25.140625" bestFit="1" customWidth="1"/>
    <col min="2930" max="2930" width="30.28515625" bestFit="1" customWidth="1"/>
    <col min="2931" max="2931" width="27.28515625" bestFit="1" customWidth="1"/>
    <col min="2932" max="2932" width="24.28515625" bestFit="1" customWidth="1"/>
    <col min="2933" max="2933" width="26.42578125" bestFit="1" customWidth="1"/>
  </cols>
  <sheetData>
    <row r="3" spans="1:13" x14ac:dyDescent="0.25">
      <c r="A3" t="s">
        <v>0</v>
      </c>
    </row>
    <row r="4" spans="1:13" x14ac:dyDescent="0.25">
      <c r="A4" t="s">
        <v>1</v>
      </c>
      <c r="F4" s="3" t="s">
        <v>5</v>
      </c>
      <c r="G4" t="s">
        <v>6</v>
      </c>
      <c r="I4" s="3" t="s">
        <v>5</v>
      </c>
      <c r="J4" t="s">
        <v>2</v>
      </c>
      <c r="L4" s="3" t="s">
        <v>5</v>
      </c>
      <c r="M4" t="s">
        <v>3</v>
      </c>
    </row>
    <row r="5" spans="1:13" x14ac:dyDescent="0.25">
      <c r="A5" s="5">
        <v>469</v>
      </c>
      <c r="B5" s="5"/>
      <c r="C5" s="5"/>
      <c r="F5" s="4" t="s">
        <v>13</v>
      </c>
      <c r="G5" s="5">
        <v>12</v>
      </c>
      <c r="I5" s="4" t="s">
        <v>13</v>
      </c>
      <c r="J5" s="1">
        <v>29.833333333333332</v>
      </c>
      <c r="L5" s="4" t="s">
        <v>13</v>
      </c>
      <c r="M5" s="6">
        <v>3.5</v>
      </c>
    </row>
    <row r="6" spans="1:13" x14ac:dyDescent="0.25">
      <c r="F6" s="4" t="s">
        <v>14</v>
      </c>
      <c r="G6" s="5">
        <v>18</v>
      </c>
      <c r="I6" s="4" t="s">
        <v>14</v>
      </c>
      <c r="J6" s="1">
        <v>34.777777777777779</v>
      </c>
      <c r="L6" s="4" t="s">
        <v>14</v>
      </c>
      <c r="M6" s="6">
        <v>5.8</v>
      </c>
    </row>
    <row r="7" spans="1:13" x14ac:dyDescent="0.25">
      <c r="A7" t="s">
        <v>2</v>
      </c>
      <c r="F7" s="4" t="s">
        <v>15</v>
      </c>
      <c r="G7" s="5">
        <v>17</v>
      </c>
      <c r="I7" s="4" t="s">
        <v>15</v>
      </c>
      <c r="J7" s="1">
        <v>35</v>
      </c>
      <c r="L7" s="4" t="s">
        <v>15</v>
      </c>
      <c r="M7" s="6">
        <v>3.6</v>
      </c>
    </row>
    <row r="8" spans="1:13" x14ac:dyDescent="0.25">
      <c r="A8" s="1">
        <v>34.268656716417908</v>
      </c>
      <c r="B8" s="1"/>
      <c r="C8" s="1"/>
      <c r="F8" s="4" t="s">
        <v>16</v>
      </c>
      <c r="G8" s="5">
        <v>15</v>
      </c>
      <c r="I8" s="4" t="s">
        <v>16</v>
      </c>
      <c r="J8" s="1">
        <v>34.06666666666667</v>
      </c>
      <c r="L8" s="4" t="s">
        <v>16</v>
      </c>
      <c r="M8" s="6">
        <v>7.25</v>
      </c>
    </row>
    <row r="9" spans="1:13" x14ac:dyDescent="0.25">
      <c r="F9" s="4" t="s">
        <v>17</v>
      </c>
      <c r="G9" s="5">
        <v>13</v>
      </c>
      <c r="I9" s="4" t="s">
        <v>17</v>
      </c>
      <c r="J9" s="1">
        <v>34.846153846153847</v>
      </c>
      <c r="L9" s="4" t="s">
        <v>17</v>
      </c>
      <c r="M9" s="6">
        <v>4</v>
      </c>
    </row>
    <row r="10" spans="1:13" x14ac:dyDescent="0.25">
      <c r="A10" t="s">
        <v>3</v>
      </c>
      <c r="F10" s="4" t="s">
        <v>18</v>
      </c>
      <c r="G10" s="5">
        <v>11</v>
      </c>
      <c r="I10" s="4" t="s">
        <v>18</v>
      </c>
      <c r="J10" s="1">
        <v>36.81818181818182</v>
      </c>
      <c r="L10" s="4" t="s">
        <v>18</v>
      </c>
      <c r="M10" s="6">
        <v>6.2</v>
      </c>
    </row>
    <row r="11" spans="1:13" x14ac:dyDescent="0.25">
      <c r="A11" s="1">
        <v>4.9837398373983737</v>
      </c>
      <c r="B11" s="1"/>
      <c r="C11" s="1"/>
      <c r="F11" s="4" t="s">
        <v>19</v>
      </c>
      <c r="G11" s="5">
        <v>14</v>
      </c>
      <c r="I11" s="4" t="s">
        <v>19</v>
      </c>
      <c r="J11" s="1">
        <v>34.5</v>
      </c>
      <c r="L11" s="4" t="s">
        <v>19</v>
      </c>
      <c r="M11" s="6">
        <v>6.5</v>
      </c>
    </row>
    <row r="12" spans="1:13" x14ac:dyDescent="0.25">
      <c r="F12" s="4" t="s">
        <v>20</v>
      </c>
      <c r="G12" s="5">
        <v>17</v>
      </c>
      <c r="I12" s="4" t="s">
        <v>20</v>
      </c>
      <c r="J12" s="1">
        <v>32.882352941176471</v>
      </c>
      <c r="L12" s="4" t="s">
        <v>20</v>
      </c>
      <c r="M12" s="6">
        <v>6</v>
      </c>
    </row>
    <row r="13" spans="1:13" x14ac:dyDescent="0.25">
      <c r="F13" s="4" t="s">
        <v>21</v>
      </c>
      <c r="G13" s="5">
        <v>15</v>
      </c>
      <c r="I13" s="4" t="s">
        <v>21</v>
      </c>
      <c r="J13" s="1">
        <v>43.466666666666669</v>
      </c>
      <c r="L13" s="4" t="s">
        <v>21</v>
      </c>
      <c r="M13" s="6">
        <v>1.5</v>
      </c>
    </row>
    <row r="14" spans="1:13" x14ac:dyDescent="0.25">
      <c r="A14" s="3" t="s">
        <v>5</v>
      </c>
      <c r="B14" t="s">
        <v>9</v>
      </c>
      <c r="C14" t="s">
        <v>10</v>
      </c>
      <c r="F14" s="4" t="s">
        <v>22</v>
      </c>
      <c r="G14" s="5">
        <v>16</v>
      </c>
      <c r="I14" s="4" t="s">
        <v>22</v>
      </c>
      <c r="J14" s="1">
        <v>28.375</v>
      </c>
      <c r="L14" s="4" t="s">
        <v>22</v>
      </c>
      <c r="M14" s="6">
        <v>2.5</v>
      </c>
    </row>
    <row r="15" spans="1:13" x14ac:dyDescent="0.25">
      <c r="A15" s="4" t="s">
        <v>7</v>
      </c>
      <c r="B15" s="5">
        <v>249</v>
      </c>
      <c r="C15" s="7">
        <v>0.53091684434968012</v>
      </c>
      <c r="F15" s="4" t="s">
        <v>23</v>
      </c>
      <c r="G15" s="5">
        <v>9</v>
      </c>
      <c r="I15" s="4" t="s">
        <v>23</v>
      </c>
      <c r="J15" s="1">
        <v>34.777777777777779</v>
      </c>
      <c r="L15" s="4" t="s">
        <v>23</v>
      </c>
      <c r="M15" s="6">
        <v>7.25</v>
      </c>
    </row>
    <row r="16" spans="1:13" x14ac:dyDescent="0.25">
      <c r="A16" s="4" t="s">
        <v>8</v>
      </c>
      <c r="B16" s="5">
        <v>220</v>
      </c>
      <c r="C16" s="7">
        <v>0.46908315565031983</v>
      </c>
      <c r="F16" s="4" t="s">
        <v>24</v>
      </c>
      <c r="G16" s="5">
        <v>10</v>
      </c>
      <c r="I16" s="4" t="s">
        <v>24</v>
      </c>
      <c r="J16" s="1">
        <v>35.200000000000003</v>
      </c>
      <c r="L16" s="4" t="s">
        <v>24</v>
      </c>
      <c r="M16" s="6">
        <v>1.5</v>
      </c>
    </row>
    <row r="17" spans="1:13" x14ac:dyDescent="0.25">
      <c r="A17" s="4" t="s">
        <v>4</v>
      </c>
      <c r="B17" s="5">
        <v>469</v>
      </c>
      <c r="C17" s="7">
        <v>1</v>
      </c>
      <c r="F17" s="4" t="s">
        <v>25</v>
      </c>
      <c r="G17" s="5">
        <v>12</v>
      </c>
      <c r="I17" s="4" t="s">
        <v>25</v>
      </c>
      <c r="J17" s="1">
        <v>32</v>
      </c>
      <c r="L17" s="4" t="s">
        <v>25</v>
      </c>
      <c r="M17" s="6">
        <v>5</v>
      </c>
    </row>
    <row r="18" spans="1:13" x14ac:dyDescent="0.25">
      <c r="A18" s="10"/>
      <c r="B18" s="10"/>
      <c r="C18" s="10"/>
      <c r="D18" s="10"/>
      <c r="F18" s="4" t="s">
        <v>26</v>
      </c>
      <c r="G18" s="5">
        <v>13</v>
      </c>
      <c r="I18" s="4" t="s">
        <v>26</v>
      </c>
      <c r="J18" s="1">
        <v>37.615384615384613</v>
      </c>
      <c r="L18" s="4" t="s">
        <v>26</v>
      </c>
      <c r="M18" s="6">
        <v>6.5</v>
      </c>
    </row>
    <row r="19" spans="1:13" x14ac:dyDescent="0.25">
      <c r="A19" s="9" t="s">
        <v>11</v>
      </c>
      <c r="B19" s="9" t="s">
        <v>0</v>
      </c>
      <c r="C19" s="9" t="s">
        <v>12</v>
      </c>
      <c r="D19" s="9"/>
      <c r="E19" s="8"/>
      <c r="F19" s="4" t="s">
        <v>27</v>
      </c>
      <c r="G19" s="5">
        <v>26</v>
      </c>
      <c r="I19" s="4" t="s">
        <v>27</v>
      </c>
      <c r="J19" s="1">
        <v>37.384615384615387</v>
      </c>
      <c r="L19" s="4" t="s">
        <v>27</v>
      </c>
      <c r="M19" s="6">
        <v>4.1111111111111107</v>
      </c>
    </row>
    <row r="20" spans="1:13" x14ac:dyDescent="0.25">
      <c r="A20" s="11" t="s">
        <v>8</v>
      </c>
      <c r="B20" s="13">
        <f>B16</f>
        <v>220</v>
      </c>
      <c r="C20" s="12">
        <f>C16</f>
        <v>0.46908315565031983</v>
      </c>
      <c r="D20" s="11"/>
      <c r="E20" s="8"/>
      <c r="F20" s="4" t="s">
        <v>28</v>
      </c>
      <c r="G20" s="5">
        <v>22</v>
      </c>
      <c r="I20" s="4" t="s">
        <v>28</v>
      </c>
      <c r="J20" s="1">
        <v>33.954545454545453</v>
      </c>
      <c r="L20" s="4" t="s">
        <v>28</v>
      </c>
      <c r="M20" s="6">
        <v>6.6</v>
      </c>
    </row>
    <row r="21" spans="1:13" x14ac:dyDescent="0.25">
      <c r="A21" s="11" t="s">
        <v>7</v>
      </c>
      <c r="B21" s="13">
        <f>B15</f>
        <v>249</v>
      </c>
      <c r="C21" s="12">
        <f>C15</f>
        <v>0.53091684434968012</v>
      </c>
      <c r="D21" s="11"/>
      <c r="E21" s="8"/>
      <c r="F21" s="4" t="s">
        <v>29</v>
      </c>
      <c r="G21" s="5">
        <v>16</v>
      </c>
      <c r="I21" s="4" t="s">
        <v>29</v>
      </c>
      <c r="J21" s="1">
        <v>32.5</v>
      </c>
      <c r="L21" s="4" t="s">
        <v>29</v>
      </c>
      <c r="M21" s="6">
        <v>5.2</v>
      </c>
    </row>
    <row r="22" spans="1:13" x14ac:dyDescent="0.25">
      <c r="F22" s="4" t="s">
        <v>30</v>
      </c>
      <c r="G22" s="5">
        <v>12</v>
      </c>
      <c r="I22" s="4" t="s">
        <v>30</v>
      </c>
      <c r="J22" s="1">
        <v>37.25</v>
      </c>
      <c r="L22" s="4" t="s">
        <v>30</v>
      </c>
      <c r="M22" s="6">
        <v>5.5</v>
      </c>
    </row>
    <row r="23" spans="1:13" x14ac:dyDescent="0.25">
      <c r="F23" s="4" t="s">
        <v>31</v>
      </c>
      <c r="G23" s="5">
        <v>21</v>
      </c>
      <c r="I23" s="4" t="s">
        <v>31</v>
      </c>
      <c r="J23" s="1">
        <v>34.047619047619051</v>
      </c>
      <c r="L23" s="4" t="s">
        <v>31</v>
      </c>
      <c r="M23" s="6">
        <v>3.3333333333333335</v>
      </c>
    </row>
    <row r="24" spans="1:13" x14ac:dyDescent="0.25">
      <c r="A24" s="3" t="s">
        <v>5</v>
      </c>
      <c r="B24" t="s">
        <v>51</v>
      </c>
      <c r="F24" s="4" t="s">
        <v>32</v>
      </c>
      <c r="G24" s="5">
        <v>12</v>
      </c>
      <c r="I24" s="4" t="s">
        <v>32</v>
      </c>
      <c r="J24" s="1">
        <v>34.583333333333336</v>
      </c>
      <c r="L24" s="4" t="s">
        <v>32</v>
      </c>
      <c r="M24" s="6">
        <v>5</v>
      </c>
    </row>
    <row r="25" spans="1:13" x14ac:dyDescent="0.25">
      <c r="A25" s="4" t="s">
        <v>43</v>
      </c>
      <c r="B25" s="5">
        <v>61</v>
      </c>
      <c r="F25" s="4" t="s">
        <v>33</v>
      </c>
      <c r="G25" s="5">
        <v>15</v>
      </c>
      <c r="I25" s="4" t="s">
        <v>33</v>
      </c>
      <c r="J25" s="1">
        <v>31</v>
      </c>
      <c r="L25" s="4" t="s">
        <v>33</v>
      </c>
      <c r="M25" s="6">
        <v>6.5</v>
      </c>
    </row>
    <row r="26" spans="1:13" x14ac:dyDescent="0.25">
      <c r="A26" s="4" t="s">
        <v>44</v>
      </c>
      <c r="B26" s="5">
        <v>56</v>
      </c>
      <c r="F26" s="4" t="s">
        <v>34</v>
      </c>
      <c r="G26" s="5">
        <v>23</v>
      </c>
      <c r="I26" s="4" t="s">
        <v>34</v>
      </c>
      <c r="J26" s="1">
        <v>33.347826086956523</v>
      </c>
      <c r="L26" s="4" t="s">
        <v>34</v>
      </c>
      <c r="M26" s="6">
        <v>3</v>
      </c>
    </row>
    <row r="27" spans="1:13" x14ac:dyDescent="0.25">
      <c r="A27" s="4" t="s">
        <v>45</v>
      </c>
      <c r="B27" s="5">
        <v>58</v>
      </c>
      <c r="F27" s="4" t="s">
        <v>35</v>
      </c>
      <c r="G27" s="5">
        <v>15</v>
      </c>
      <c r="I27" s="4" t="s">
        <v>35</v>
      </c>
      <c r="J27" s="1">
        <v>33.799999999999997</v>
      </c>
      <c r="L27" s="4" t="s">
        <v>35</v>
      </c>
      <c r="M27" s="6">
        <v>5.333333333333333</v>
      </c>
    </row>
    <row r="28" spans="1:13" x14ac:dyDescent="0.25">
      <c r="A28" s="4" t="s">
        <v>46</v>
      </c>
      <c r="B28" s="5">
        <v>56</v>
      </c>
      <c r="F28" s="4" t="s">
        <v>36</v>
      </c>
      <c r="G28" s="5">
        <v>15</v>
      </c>
      <c r="I28" s="4" t="s">
        <v>36</v>
      </c>
      <c r="J28" s="1">
        <v>32.466666666666669</v>
      </c>
      <c r="L28" s="4" t="s">
        <v>36</v>
      </c>
      <c r="M28" s="6">
        <v>7.333333333333333</v>
      </c>
    </row>
    <row r="29" spans="1:13" x14ac:dyDescent="0.25">
      <c r="A29" s="4" t="s">
        <v>47</v>
      </c>
      <c r="B29" s="5">
        <v>66</v>
      </c>
      <c r="F29" s="4" t="s">
        <v>37</v>
      </c>
      <c r="G29" s="5">
        <v>14</v>
      </c>
      <c r="I29" s="4" t="s">
        <v>37</v>
      </c>
      <c r="J29" s="1">
        <v>36.642857142857146</v>
      </c>
      <c r="L29" s="4" t="s">
        <v>37</v>
      </c>
      <c r="M29" s="6">
        <v>5.6</v>
      </c>
    </row>
    <row r="30" spans="1:13" x14ac:dyDescent="0.25">
      <c r="A30" s="4" t="s">
        <v>48</v>
      </c>
      <c r="B30" s="5">
        <v>62</v>
      </c>
      <c r="F30" s="4" t="s">
        <v>38</v>
      </c>
      <c r="G30" s="5">
        <v>19</v>
      </c>
      <c r="I30" s="4" t="s">
        <v>38</v>
      </c>
      <c r="J30" s="1">
        <v>32.631578947368418</v>
      </c>
      <c r="L30" s="4" t="s">
        <v>38</v>
      </c>
      <c r="M30" s="6">
        <v>4.4000000000000004</v>
      </c>
    </row>
    <row r="31" spans="1:13" x14ac:dyDescent="0.25">
      <c r="A31" s="4" t="s">
        <v>49</v>
      </c>
      <c r="B31" s="5">
        <v>58</v>
      </c>
      <c r="F31" s="4" t="s">
        <v>39</v>
      </c>
      <c r="G31" s="5">
        <v>17</v>
      </c>
      <c r="I31" s="4" t="s">
        <v>39</v>
      </c>
      <c r="J31" s="1">
        <v>32.176470588235297</v>
      </c>
      <c r="L31" s="4" t="s">
        <v>39</v>
      </c>
      <c r="M31" s="6">
        <v>4</v>
      </c>
    </row>
    <row r="32" spans="1:13" x14ac:dyDescent="0.25">
      <c r="A32" s="4" t="s">
        <v>50</v>
      </c>
      <c r="B32" s="5">
        <v>52</v>
      </c>
      <c r="F32" s="4" t="s">
        <v>40</v>
      </c>
      <c r="G32" s="5">
        <v>16</v>
      </c>
      <c r="I32" s="4" t="s">
        <v>40</v>
      </c>
      <c r="J32" s="1">
        <v>33.5</v>
      </c>
      <c r="L32" s="4" t="s">
        <v>40</v>
      </c>
      <c r="M32" s="6">
        <v>3</v>
      </c>
    </row>
    <row r="33" spans="1:13" x14ac:dyDescent="0.25">
      <c r="A33" s="4" t="s">
        <v>4</v>
      </c>
      <c r="B33" s="5">
        <v>469</v>
      </c>
      <c r="F33" s="4" t="s">
        <v>41</v>
      </c>
      <c r="G33" s="5">
        <v>15</v>
      </c>
      <c r="I33" s="4" t="s">
        <v>41</v>
      </c>
      <c r="J33" s="1">
        <v>33.200000000000003</v>
      </c>
      <c r="L33" s="4" t="s">
        <v>41</v>
      </c>
      <c r="M33" s="6">
        <v>5.666666666666667</v>
      </c>
    </row>
    <row r="34" spans="1:13" x14ac:dyDescent="0.25">
      <c r="F34" s="4" t="s">
        <v>42</v>
      </c>
      <c r="G34" s="5">
        <v>19</v>
      </c>
      <c r="I34" s="4" t="s">
        <v>42</v>
      </c>
      <c r="J34" s="1">
        <v>35.89473684210526</v>
      </c>
      <c r="L34" s="4" t="s">
        <v>42</v>
      </c>
      <c r="M34" s="6">
        <v>5.8571428571428568</v>
      </c>
    </row>
    <row r="35" spans="1:13" x14ac:dyDescent="0.25">
      <c r="A35" s="3" t="s">
        <v>5</v>
      </c>
      <c r="B35" t="s">
        <v>54</v>
      </c>
      <c r="F35" s="4" t="s">
        <v>4</v>
      </c>
      <c r="G35" s="5">
        <v>469</v>
      </c>
      <c r="I35" s="4" t="s">
        <v>4</v>
      </c>
      <c r="J35" s="1">
        <v>34.268656716417908</v>
      </c>
      <c r="L35" s="4" t="s">
        <v>4</v>
      </c>
      <c r="M35" s="6">
        <v>4.9837398373983737</v>
      </c>
    </row>
    <row r="36" spans="1:13" x14ac:dyDescent="0.25">
      <c r="A36" s="4" t="s">
        <v>52</v>
      </c>
      <c r="B36" s="5">
        <v>257</v>
      </c>
    </row>
    <row r="37" spans="1:13" x14ac:dyDescent="0.25">
      <c r="A37" s="4" t="s">
        <v>53</v>
      </c>
      <c r="B37" s="5">
        <v>212</v>
      </c>
    </row>
    <row r="38" spans="1:13" x14ac:dyDescent="0.25">
      <c r="A38" s="4" t="s">
        <v>4</v>
      </c>
      <c r="B38" s="5">
        <v>469</v>
      </c>
    </row>
    <row r="39" spans="1:13" x14ac:dyDescent="0.25">
      <c r="D39" s="3" t="s">
        <v>5</v>
      </c>
    </row>
    <row r="40" spans="1:13" x14ac:dyDescent="0.25">
      <c r="A40" s="3" t="s">
        <v>5</v>
      </c>
      <c r="B40" t="s">
        <v>57</v>
      </c>
      <c r="D40" s="4" t="s">
        <v>67</v>
      </c>
    </row>
    <row r="41" spans="1:13" x14ac:dyDescent="0.25">
      <c r="A41" s="4" t="s">
        <v>55</v>
      </c>
      <c r="B41" s="5">
        <v>219</v>
      </c>
      <c r="D41" s="4" t="s">
        <v>4</v>
      </c>
    </row>
    <row r="42" spans="1:13" x14ac:dyDescent="0.25">
      <c r="A42" s="4" t="s">
        <v>56</v>
      </c>
      <c r="B42" s="5">
        <v>250</v>
      </c>
    </row>
    <row r="43" spans="1:13" x14ac:dyDescent="0.25">
      <c r="A43" s="4" t="s">
        <v>4</v>
      </c>
      <c r="B43" s="5">
        <v>469</v>
      </c>
    </row>
    <row r="45" spans="1:13" x14ac:dyDescent="0.25">
      <c r="A45" s="3" t="s">
        <v>5</v>
      </c>
      <c r="B45" t="s">
        <v>66</v>
      </c>
    </row>
    <row r="46" spans="1:13" x14ac:dyDescent="0.25">
      <c r="A46" s="4" t="s">
        <v>62</v>
      </c>
      <c r="B46" s="5">
        <v>260</v>
      </c>
    </row>
    <row r="47" spans="1:13" x14ac:dyDescent="0.25">
      <c r="A47" s="4" t="s">
        <v>60</v>
      </c>
      <c r="B47" s="5">
        <v>107</v>
      </c>
    </row>
    <row r="48" spans="1:13" x14ac:dyDescent="0.25">
      <c r="A48" s="4" t="s">
        <v>63</v>
      </c>
      <c r="B48" s="5">
        <v>48</v>
      </c>
    </row>
    <row r="49" spans="1:2" x14ac:dyDescent="0.25">
      <c r="A49" s="4" t="s">
        <v>64</v>
      </c>
      <c r="B49" s="5">
        <v>17</v>
      </c>
    </row>
    <row r="50" spans="1:2" x14ac:dyDescent="0.25">
      <c r="A50" s="4" t="s">
        <v>58</v>
      </c>
      <c r="B50" s="5">
        <v>13</v>
      </c>
    </row>
    <row r="51" spans="1:2" x14ac:dyDescent="0.25">
      <c r="A51" s="4" t="s">
        <v>59</v>
      </c>
      <c r="B51" s="5">
        <v>11</v>
      </c>
    </row>
    <row r="52" spans="1:2" x14ac:dyDescent="0.25">
      <c r="A52" s="4" t="s">
        <v>61</v>
      </c>
      <c r="B52" s="5">
        <v>7</v>
      </c>
    </row>
    <row r="53" spans="1:2" x14ac:dyDescent="0.25">
      <c r="A53" s="4" t="s">
        <v>65</v>
      </c>
      <c r="B53" s="5">
        <v>6</v>
      </c>
    </row>
    <row r="54" spans="1:2" x14ac:dyDescent="0.25">
      <c r="A54" s="4" t="s">
        <v>4</v>
      </c>
      <c r="B54" s="5">
        <v>469</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0D4C-B61F-41C9-B2D0-177B7CA3CFBA}">
  <dimension ref="A1"/>
  <sheetViews>
    <sheetView tabSelected="1" zoomScaleNormal="100" workbookViewId="0">
      <selection sqref="A1:A2"/>
    </sheetView>
  </sheetViews>
  <sheetFormatPr defaultRowHeight="15" x14ac:dyDescent="0.25"/>
  <cols>
    <col min="1" max="16384" width="9.140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63A7-6147-4FB9-ADAE-122CEB6DD80B}">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9F39-6754-4054-9578-6CD1F28E95EF}">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E2DA-2ADB-4456-9640-C921753B94CC}">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9D8459F-59FE-419C-B4F6-EAD0C5CDB41C}">
  <ds:schemaRefs/>
</ds:datastoreItem>
</file>

<file path=customXml/itemProps2.xml><?xml version="1.0" encoding="utf-8"?>
<ds:datastoreItem xmlns:ds="http://schemas.openxmlformats.org/officeDocument/2006/customXml" ds:itemID="{03635C3D-5917-4442-BCDF-D41F9844E88D}">
  <ds:schemaRefs/>
</ds:datastoreItem>
</file>

<file path=customXml/itemProps3.xml><?xml version="1.0" encoding="utf-8"?>
<ds:datastoreItem xmlns:ds="http://schemas.openxmlformats.org/officeDocument/2006/customXml" ds:itemID="{C1615945-F7B9-40C6-B5A7-6D3E9522CD0B}">
  <ds:schemaRefs/>
</ds:datastoreItem>
</file>

<file path=customXml/itemProps4.xml><?xml version="1.0" encoding="utf-8"?>
<ds:datastoreItem xmlns:ds="http://schemas.openxmlformats.org/officeDocument/2006/customXml" ds:itemID="{AA8C8C41-D41B-4536-A5D7-5EEFAAD9D360}">
  <ds:schemaRefs/>
</ds:datastoreItem>
</file>

<file path=customXml/itemProps5.xml><?xml version="1.0" encoding="utf-8"?>
<ds:datastoreItem xmlns:ds="http://schemas.openxmlformats.org/officeDocument/2006/customXml" ds:itemID="{42FE4436-FB49-4266-8F37-7E5FA8B9E428}">
  <ds:schemaRefs/>
</ds:datastoreItem>
</file>

<file path=customXml/itemProps6.xml><?xml version="1.0" encoding="utf-8"?>
<ds:datastoreItem xmlns:ds="http://schemas.openxmlformats.org/officeDocument/2006/customXml" ds:itemID="{1250BBF4-17B5-417F-9117-73EFD85EBD6C}">
  <ds:schemaRefs/>
</ds:datastoreItem>
</file>

<file path=customXml/itemProps7.xml><?xml version="1.0" encoding="utf-8"?>
<ds:datastoreItem xmlns:ds="http://schemas.openxmlformats.org/officeDocument/2006/customXml" ds:itemID="{8C276D48-B825-4608-A2C0-F961E482FD8A}">
  <ds:schemaRefs/>
</ds:datastoreItem>
</file>

<file path=customXml/itemProps8.xml><?xml version="1.0" encoding="utf-8"?>
<ds:datastoreItem xmlns:ds="http://schemas.openxmlformats.org/officeDocument/2006/customXml" ds:itemID="{7B579403-2720-46B5-B709-5967415F9BD8}">
  <ds:schemaRefs/>
</ds:datastoreItem>
</file>

<file path=customXml/itemProps9.xml><?xml version="1.0" encoding="utf-8"?>
<ds:datastoreItem xmlns:ds="http://schemas.openxmlformats.org/officeDocument/2006/customXml" ds:itemID="{5CF06FE3-E6BB-4A54-83F9-209F645FC1AB}">
  <ds:schemaRefs/>
</ds:datastoreItem>
</file>

<file path=customXml/itemProps10.xml><?xml version="1.0" encoding="utf-8"?>
<ds:datastoreItem xmlns:ds="http://schemas.openxmlformats.org/officeDocument/2006/customXml" ds:itemID="{7B22CF16-F494-406A-9AFF-64EC36896DFD}">
  <ds:schemaRefs>
    <ds:schemaRef ds:uri="http://schemas.microsoft.com/DataMashup"/>
  </ds:schemaRefs>
</ds:datastoreItem>
</file>

<file path=customXml/itemProps11.xml><?xml version="1.0" encoding="utf-8"?>
<ds:datastoreItem xmlns:ds="http://schemas.openxmlformats.org/officeDocument/2006/customXml" ds:itemID="{15D0C62B-8308-483D-BB3E-00C3A052A994}">
  <ds:schemaRefs/>
</ds:datastoreItem>
</file>

<file path=customXml/itemProps12.xml><?xml version="1.0" encoding="utf-8"?>
<ds:datastoreItem xmlns:ds="http://schemas.openxmlformats.org/officeDocument/2006/customXml" ds:itemID="{661E4740-A8E7-407D-BE8F-05A4F8FF71AF}">
  <ds:schemaRefs/>
</ds:datastoreItem>
</file>

<file path=customXml/itemProps13.xml><?xml version="1.0" encoding="utf-8"?>
<ds:datastoreItem xmlns:ds="http://schemas.openxmlformats.org/officeDocument/2006/customXml" ds:itemID="{1ED72447-421C-4843-BAB1-12F75D72E7C6}">
  <ds:schemaRefs/>
</ds:datastoreItem>
</file>

<file path=customXml/itemProps14.xml><?xml version="1.0" encoding="utf-8"?>
<ds:datastoreItem xmlns:ds="http://schemas.openxmlformats.org/officeDocument/2006/customXml" ds:itemID="{3ACBA77A-AA8A-4E87-97A4-229E2E2802DD}">
  <ds:schemaRefs/>
</ds:datastoreItem>
</file>

<file path=customXml/itemProps15.xml><?xml version="1.0" encoding="utf-8"?>
<ds:datastoreItem xmlns:ds="http://schemas.openxmlformats.org/officeDocument/2006/customXml" ds:itemID="{790CFE53-1DB8-4D81-972C-0A64E5EB6B66}">
  <ds:schemaRefs/>
</ds:datastoreItem>
</file>

<file path=customXml/itemProps16.xml><?xml version="1.0" encoding="utf-8"?>
<ds:datastoreItem xmlns:ds="http://schemas.openxmlformats.org/officeDocument/2006/customXml" ds:itemID="{BD89F54C-AAF9-4067-A986-01F8DA771491}">
  <ds:schemaRefs/>
</ds:datastoreItem>
</file>

<file path=customXml/itemProps17.xml><?xml version="1.0" encoding="utf-8"?>
<ds:datastoreItem xmlns:ds="http://schemas.openxmlformats.org/officeDocument/2006/customXml" ds:itemID="{EEA17152-52C3-485C-B58E-D9D70B40FE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 visiting</vt:lpstr>
      <vt:lpstr>patient wait time</vt:lpstr>
      <vt:lpstr>Patient Feedback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Sarkar</dc:creator>
  <cp:lastModifiedBy>Sneha Sarkar</cp:lastModifiedBy>
  <dcterms:created xsi:type="dcterms:W3CDTF">2026-04-11T14:23:53Z</dcterms:created>
  <dcterms:modified xsi:type="dcterms:W3CDTF">2026-04-13T15:33:49Z</dcterms:modified>
</cp:coreProperties>
</file>